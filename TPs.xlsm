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b549fd41cbeb8d9/Documents/Guillaume_VBA_Excel/TD/Seance1/"/>
    </mc:Choice>
  </mc:AlternateContent>
  <xr:revisionPtr revIDLastSave="45" documentId="8_{3FA1C2D4-BE14-424B-9567-06F6E7886AD3}" xr6:coauthVersionLast="47" xr6:coauthVersionMax="47" xr10:uidLastSave="{7009462B-5AE1-45F8-8BF3-4CB1678A27EB}"/>
  <bookViews>
    <workbookView xWindow="-108" yWindow="-108" windowWidth="23256" windowHeight="12576" activeTab="6" xr2:uid="{7001E9BF-CA69-4C97-A7F9-23997AB15530}"/>
  </bookViews>
  <sheets>
    <sheet name="TP1" sheetId="1" r:id="rId1"/>
    <sheet name="TP2" sheetId="2" r:id="rId2"/>
    <sheet name="TP3" sheetId="3" r:id="rId3"/>
    <sheet name="TP4" sheetId="4" r:id="rId4"/>
    <sheet name="Donnees" sheetId="5" r:id="rId5"/>
    <sheet name="TP5" sheetId="6" r:id="rId6"/>
    <sheet name="TP6" sheetId="7" r:id="rId7"/>
  </sheets>
  <functionGroups builtInGroupCount="19"/>
  <definedNames>
    <definedName name="donnee">Donnees!$A$3:$T$252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7" l="1"/>
  <c r="C22" i="7" s="1"/>
  <c r="F16" i="7"/>
  <c r="C21" i="7" s="1"/>
  <c r="E6" i="7"/>
  <c r="F6" i="7" s="1"/>
  <c r="E7" i="7"/>
  <c r="F7" i="7" s="1"/>
  <c r="E8" i="7"/>
  <c r="F8" i="7" s="1"/>
  <c r="E9" i="7"/>
  <c r="F9" i="7" s="1"/>
  <c r="E10" i="7"/>
  <c r="F10" i="7" s="1"/>
  <c r="E5" i="7"/>
  <c r="F5" i="7" s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3" i="6"/>
  <c r="D4" i="6"/>
  <c r="D5" i="6"/>
  <c r="D6" i="6"/>
  <c r="D7" i="6"/>
  <c r="D8" i="6"/>
  <c r="D9" i="6"/>
  <c r="D10" i="6"/>
  <c r="D11" i="6"/>
  <c r="D12" i="6"/>
  <c r="D3" i="6"/>
  <c r="C4" i="6"/>
  <c r="C5" i="6"/>
  <c r="C6" i="6"/>
  <c r="C7" i="6"/>
  <c r="C3" i="6"/>
  <c r="O27" i="4"/>
  <c r="O26" i="4"/>
  <c r="G27" i="4"/>
  <c r="G28" i="4" s="1"/>
  <c r="G26" i="4"/>
  <c r="S25" i="4"/>
  <c r="T25" i="4"/>
  <c r="Q25" i="4"/>
  <c r="K25" i="4"/>
  <c r="L25" i="4"/>
  <c r="I25" i="4"/>
  <c r="P18" i="4"/>
  <c r="R18" i="4" s="1"/>
  <c r="P19" i="4"/>
  <c r="R19" i="4" s="1"/>
  <c r="P20" i="4"/>
  <c r="R20" i="4" s="1"/>
  <c r="P21" i="4"/>
  <c r="R21" i="4" s="1"/>
  <c r="P22" i="4"/>
  <c r="P23" i="4"/>
  <c r="R23" i="4" s="1"/>
  <c r="P24" i="4"/>
  <c r="P17" i="4"/>
  <c r="Q24" i="4"/>
  <c r="Q23" i="4"/>
  <c r="Q22" i="4"/>
  <c r="R22" i="4"/>
  <c r="N22" i="4"/>
  <c r="R17" i="4"/>
  <c r="N17" i="4"/>
  <c r="J11" i="4"/>
  <c r="I12" i="4"/>
  <c r="I13" i="4"/>
  <c r="L13" i="4" s="1"/>
  <c r="I14" i="4"/>
  <c r="I15" i="4"/>
  <c r="I16" i="4"/>
  <c r="K16" i="4" s="1"/>
  <c r="I17" i="4"/>
  <c r="I18" i="4"/>
  <c r="I19" i="4"/>
  <c r="I20" i="4"/>
  <c r="F14" i="4"/>
  <c r="F15" i="4"/>
  <c r="F16" i="4"/>
  <c r="F17" i="4"/>
  <c r="F18" i="4"/>
  <c r="F19" i="4"/>
  <c r="F20" i="4"/>
  <c r="F22" i="4"/>
  <c r="F23" i="4"/>
  <c r="F24" i="4"/>
  <c r="H11" i="4"/>
  <c r="F11" i="4" s="1"/>
  <c r="H12" i="4"/>
  <c r="J12" i="4" s="1"/>
  <c r="H13" i="4"/>
  <c r="J13" i="4" s="1"/>
  <c r="H14" i="4"/>
  <c r="J14" i="4" s="1"/>
  <c r="H15" i="4"/>
  <c r="J15" i="4" s="1"/>
  <c r="H16" i="4"/>
  <c r="J16" i="4" s="1"/>
  <c r="H17" i="4"/>
  <c r="J17" i="4" s="1"/>
  <c r="H18" i="4"/>
  <c r="J18" i="4" s="1"/>
  <c r="H19" i="4"/>
  <c r="J19" i="4" s="1"/>
  <c r="H20" i="4"/>
  <c r="J20" i="4" s="1"/>
  <c r="H21" i="4"/>
  <c r="I21" i="4" s="1"/>
  <c r="H22" i="4"/>
  <c r="J22" i="4" s="1"/>
  <c r="H23" i="4"/>
  <c r="J23" i="4" s="1"/>
  <c r="H24" i="4"/>
  <c r="J24" i="4" s="1"/>
  <c r="H10" i="4"/>
  <c r="I10" i="4" s="1"/>
  <c r="G2" i="4"/>
  <c r="G3" i="4" s="1"/>
  <c r="E2" i="4"/>
  <c r="D10" i="4" s="1"/>
  <c r="C3" i="4"/>
  <c r="C2" i="4"/>
  <c r="B11" i="3"/>
  <c r="B12" i="3"/>
  <c r="B13" i="3"/>
  <c r="B15" i="3" s="1"/>
  <c r="B14" i="3"/>
  <c r="B10" i="3"/>
  <c r="B9" i="3"/>
  <c r="B8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" i="2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3" i="1"/>
  <c r="B4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3" i="1"/>
  <c r="B2" i="1"/>
  <c r="R7" i="7" a="1"/>
  <c r="R6" i="7" a="1"/>
  <c r="R7" i="7" l="1"/>
  <c r="R6" i="7"/>
  <c r="J5" i="7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K5" i="7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F15" i="7"/>
  <c r="I3" i="6"/>
  <c r="K4" i="6"/>
  <c r="J4" i="6"/>
  <c r="L3" i="6"/>
  <c r="L4" i="6"/>
  <c r="I4" i="6"/>
  <c r="K3" i="6"/>
  <c r="J3" i="6"/>
  <c r="O28" i="4"/>
  <c r="L17" i="4"/>
  <c r="K19" i="4"/>
  <c r="L15" i="4"/>
  <c r="L12" i="4"/>
  <c r="F12" i="4"/>
  <c r="I11" i="4"/>
  <c r="K11" i="4" s="1"/>
  <c r="F13" i="4"/>
  <c r="J10" i="4"/>
  <c r="L10" i="4" s="1"/>
  <c r="I24" i="4"/>
  <c r="K24" i="4" s="1"/>
  <c r="K14" i="4"/>
  <c r="I23" i="4"/>
  <c r="L23" i="4" s="1"/>
  <c r="I22" i="4"/>
  <c r="K22" i="4" s="1"/>
  <c r="N19" i="4"/>
  <c r="N20" i="4"/>
  <c r="K10" i="4"/>
  <c r="L18" i="4"/>
  <c r="K20" i="4"/>
  <c r="K17" i="4"/>
  <c r="L16" i="4"/>
  <c r="K15" i="4"/>
  <c r="L14" i="4"/>
  <c r="K12" i="4"/>
  <c r="K13" i="4"/>
  <c r="F10" i="4"/>
  <c r="L20" i="4"/>
  <c r="N21" i="4"/>
  <c r="K18" i="4"/>
  <c r="J21" i="4"/>
  <c r="K21" i="4" s="1"/>
  <c r="L19" i="4"/>
  <c r="Q21" i="4"/>
  <c r="S21" i="4" s="1"/>
  <c r="D11" i="4"/>
  <c r="D12" i="4" s="1"/>
  <c r="F21" i="4"/>
  <c r="N18" i="4"/>
  <c r="N23" i="4"/>
  <c r="T22" i="4"/>
  <c r="T23" i="4"/>
  <c r="R24" i="4"/>
  <c r="T24" i="4" s="1"/>
  <c r="Q19" i="4"/>
  <c r="N24" i="4"/>
  <c r="Q17" i="4"/>
  <c r="S22" i="4"/>
  <c r="Q20" i="4"/>
  <c r="Q18" i="4"/>
  <c r="S23" i="4"/>
  <c r="L22" i="4" l="1"/>
  <c r="K23" i="4"/>
  <c r="L24" i="4"/>
  <c r="L11" i="4"/>
  <c r="T21" i="4"/>
  <c r="L21" i="4"/>
  <c r="T17" i="4"/>
  <c r="S17" i="4"/>
  <c r="T19" i="4"/>
  <c r="S19" i="4"/>
  <c r="T18" i="4"/>
  <c r="S18" i="4"/>
  <c r="S24" i="4"/>
  <c r="T20" i="4"/>
  <c r="S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<sst xmlns="http://schemas.openxmlformats.org/spreadsheetml/2006/main" count="87" uniqueCount="71">
  <si>
    <t xml:space="preserve">n = </t>
  </si>
  <si>
    <t>S = 1 + 2 +… + n</t>
  </si>
  <si>
    <t>2n - 1</t>
  </si>
  <si>
    <t>S = 1 + 3 + .. + (2n - 1)</t>
  </si>
  <si>
    <t>x</t>
  </si>
  <si>
    <t>f(x)</t>
  </si>
  <si>
    <t>a=</t>
  </si>
  <si>
    <t>b=</t>
  </si>
  <si>
    <t>u0=</t>
  </si>
  <si>
    <t>u1=</t>
  </si>
  <si>
    <t>n =</t>
  </si>
  <si>
    <t xml:space="preserve">un = </t>
  </si>
  <si>
    <t>RELEVE DES MESURES</t>
  </si>
  <si>
    <t>Résumé statistique des donnés bruts</t>
  </si>
  <si>
    <t xml:space="preserve">Min = </t>
  </si>
  <si>
    <t xml:space="preserve">Max = </t>
  </si>
  <si>
    <t xml:space="preserve">Moy = </t>
  </si>
  <si>
    <t xml:space="preserve">Var = </t>
  </si>
  <si>
    <t xml:space="preserve">Sigma = </t>
  </si>
  <si>
    <t>Au dessus de la moyenne</t>
  </si>
  <si>
    <t>En dessous de la moyenne</t>
  </si>
  <si>
    <t>Effetif</t>
  </si>
  <si>
    <t>Classes</t>
  </si>
  <si>
    <t>Total</t>
  </si>
  <si>
    <t>a</t>
  </si>
  <si>
    <t>b</t>
  </si>
  <si>
    <t>ni</t>
  </si>
  <si>
    <t>xi</t>
  </si>
  <si>
    <t>ni * xi</t>
  </si>
  <si>
    <t>ni * xi^2</t>
  </si>
  <si>
    <t>Tableau de classes d'emplitude 4</t>
  </si>
  <si>
    <t>Tableau de classes d'emplitude 2</t>
  </si>
  <si>
    <t>Somme</t>
  </si>
  <si>
    <t>Moyenne</t>
  </si>
  <si>
    <t>Variance</t>
  </si>
  <si>
    <t>Sigma</t>
  </si>
  <si>
    <t xml:space="preserve">n </t>
  </si>
  <si>
    <t>Tirages</t>
  </si>
  <si>
    <t>Pile</t>
  </si>
  <si>
    <t>Face</t>
  </si>
  <si>
    <t>Nbre de verres</t>
  </si>
  <si>
    <t>Boisson</t>
  </si>
  <si>
    <t>Volume/verre</t>
  </si>
  <si>
    <t>% Alcool</t>
  </si>
  <si>
    <t>Volume Consommé</t>
  </si>
  <si>
    <t>Volume d'alcool</t>
  </si>
  <si>
    <t>Bière</t>
  </si>
  <si>
    <t>Cognac</t>
  </si>
  <si>
    <t>Whisky</t>
  </si>
  <si>
    <t>Champagne</t>
  </si>
  <si>
    <t>Vin rouge</t>
  </si>
  <si>
    <t>Vin blanc</t>
  </si>
  <si>
    <t>Temps écoulés (en heure)</t>
  </si>
  <si>
    <t>Taux résiduel (H)</t>
  </si>
  <si>
    <t>Taux Résiduel (F)</t>
  </si>
  <si>
    <t>Masse du consommateur</t>
  </si>
  <si>
    <t>Quantité d'alcool consommée</t>
  </si>
  <si>
    <t>Taux résiduel (F)</t>
  </si>
  <si>
    <t>kg</t>
  </si>
  <si>
    <t>ml</t>
  </si>
  <si>
    <t>Je suis un tableau</t>
  </si>
  <si>
    <t>Homme</t>
  </si>
  <si>
    <t>Femme</t>
  </si>
  <si>
    <t>Calcul de taux d'alcoolemie</t>
  </si>
  <si>
    <t>Forme</t>
  </si>
  <si>
    <t>rayon</t>
  </si>
  <si>
    <t>hauteur</t>
  </si>
  <si>
    <t>cylindre</t>
  </si>
  <si>
    <t>sphere</t>
  </si>
  <si>
    <t>volume</t>
  </si>
  <si>
    <t>Calcul de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</si>
</sst>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DF78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C9C9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5" borderId="8" xfId="0" applyFill="1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5" borderId="1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7" borderId="6" xfId="0" applyFill="1" applyBorder="1"/>
    <xf numFmtId="0" fontId="0" fillId="7" borderId="8" xfId="0" applyFill="1" applyBorder="1"/>
    <xf numFmtId="0" fontId="0" fillId="7" borderId="10" xfId="0" applyFill="1" applyBorder="1"/>
    <xf numFmtId="43" fontId="0" fillId="3" borderId="1" xfId="1" applyFont="1" applyFill="1" applyBorder="1"/>
    <xf numFmtId="43" fontId="0" fillId="3" borderId="13" xfId="1" applyFont="1" applyFill="1" applyBorder="1"/>
    <xf numFmtId="0" fontId="0" fillId="6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" xfId="0" applyBorder="1"/>
    <xf numFmtId="0" fontId="0" fillId="6" borderId="1" xfId="0" applyFill="1" applyBorder="1" applyAlignment="1">
      <alignment horizontal="center"/>
    </xf>
    <xf numFmtId="0" fontId="0" fillId="0" borderId="9" xfId="0" applyBorder="1"/>
    <xf numFmtId="0" fontId="0" fillId="0" borderId="1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11" borderId="24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31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11" borderId="32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0" fillId="2" borderId="26" xfId="0" applyFill="1" applyBorder="1"/>
    <xf numFmtId="0" fontId="0" fillId="13" borderId="26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43" fontId="0" fillId="13" borderId="1" xfId="1" applyFont="1" applyFill="1" applyBorder="1" applyAlignment="1">
      <alignment horizontal="center"/>
    </xf>
    <xf numFmtId="43" fontId="0" fillId="13" borderId="13" xfId="1" applyFont="1" applyFill="1" applyBorder="1" applyAlignment="1">
      <alignment horizontal="center"/>
    </xf>
    <xf numFmtId="43" fontId="0" fillId="13" borderId="1" xfId="1" applyFont="1" applyFill="1" applyBorder="1" applyAlignment="1"/>
    <xf numFmtId="43" fontId="0" fillId="13" borderId="13" xfId="1" applyFont="1" applyFill="1" applyBorder="1" applyAlignment="1"/>
    <xf numFmtId="0" fontId="0" fillId="0" borderId="10" xfId="0" applyBorder="1"/>
    <xf numFmtId="0" fontId="0" fillId="10" borderId="11" xfId="0" applyFill="1" applyBorder="1"/>
    <xf numFmtId="0" fontId="0" fillId="10" borderId="1" xfId="0" applyFill="1" applyBorder="1"/>
    <xf numFmtId="9" fontId="0" fillId="0" borderId="12" xfId="2" applyFont="1" applyBorder="1" applyAlignment="1">
      <alignment horizontal="center"/>
    </xf>
    <xf numFmtId="9" fontId="0" fillId="0" borderId="13" xfId="2" applyFont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43" fontId="0" fillId="0" borderId="3" xfId="1" applyFont="1" applyBorder="1"/>
    <xf numFmtId="43" fontId="0" fillId="0" borderId="5" xfId="0" applyNumberFormat="1" applyBorder="1"/>
    <xf numFmtId="43" fontId="0" fillId="0" borderId="7" xfId="0" applyNumberFormat="1" applyBorder="1"/>
    <xf numFmtId="0" fontId="0" fillId="12" borderId="1" xfId="0" applyFill="1" applyBorder="1" applyAlignment="1">
      <alignment horizontal="center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0" fontId="0" fillId="3" borderId="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30" xfId="0" applyBorder="1"/>
    <xf numFmtId="0" fontId="0" fillId="0" borderId="18" xfId="0" applyBorder="1"/>
    <xf numFmtId="0" fontId="0" fillId="15" borderId="39" xfId="0" applyFill="1" applyBorder="1"/>
    <xf numFmtId="0" fontId="0" fillId="15" borderId="15" xfId="0" applyFill="1" applyBorder="1"/>
    <xf numFmtId="0" fontId="0" fillId="15" borderId="17" xfId="0" applyFill="1" applyBorder="1"/>
    <xf numFmtId="0" fontId="0" fillId="15" borderId="40" xfId="0" applyFill="1" applyBorder="1"/>
    <xf numFmtId="0" fontId="0" fillId="15" borderId="41" xfId="0" applyFill="1" applyBorder="1"/>
    <xf numFmtId="0" fontId="0" fillId="6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3" borderId="2" xfId="0" applyFill="1" applyBorder="1"/>
    <xf numFmtId="0" fontId="0" fillId="3" borderId="37" xfId="0" applyFill="1" applyBorder="1"/>
    <xf numFmtId="0" fontId="0" fillId="0" borderId="4" xfId="0" applyBorder="1"/>
    <xf numFmtId="0" fontId="0" fillId="0" borderId="0" xfId="0"/>
    <xf numFmtId="0" fontId="0" fillId="3" borderId="4" xfId="0" applyFill="1" applyBorder="1"/>
    <xf numFmtId="0" fontId="0" fillId="3" borderId="0" xfId="0" applyFill="1"/>
    <xf numFmtId="0" fontId="0" fillId="0" borderId="6" xfId="0" applyBorder="1"/>
    <xf numFmtId="0" fontId="0" fillId="0" borderId="38" xfId="0" applyBorder="1"/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59049"/>
        </patternFill>
      </fill>
    </dxf>
    <dxf>
      <fill>
        <patternFill>
          <bgColor rgb="FFEEDD8A"/>
        </patternFill>
      </fill>
    </dxf>
    <dxf>
      <fill>
        <patternFill>
          <bgColor rgb="FFE26464"/>
        </patternFill>
      </fill>
    </dxf>
  </dxfs>
  <tableStyles count="0" defaultTableStyle="TableStyleMedium2" defaultPivotStyle="PivotStyleLight16"/>
  <colors>
    <mruColors>
      <color rgb="FFE59049"/>
      <color rgb="FFEEDD8A"/>
      <color rgb="FFE26464"/>
      <color rgb="FFEC9C9C"/>
      <color rgb="FFEDF7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  <a:r>
              <a:rPr lang="fr-FR" baseline="0"/>
              <a:t> = x^2 + 3x -4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'TP2'!$A$2:$A$20</c:f>
              <c:numCache>
                <c:formatCode>General</c:formatCode>
                <c:ptCount val="19"/>
                <c:pt idx="0">
                  <c:v>-6</c:v>
                </c:pt>
                <c:pt idx="1">
                  <c:v>-5.5</c:v>
                </c:pt>
                <c:pt idx="2">
                  <c:v>-5</c:v>
                </c:pt>
                <c:pt idx="3">
                  <c:v>-4.5</c:v>
                </c:pt>
                <c:pt idx="4">
                  <c:v>-4</c:v>
                </c:pt>
                <c:pt idx="5">
                  <c:v>-3.5</c:v>
                </c:pt>
                <c:pt idx="6">
                  <c:v>-3</c:v>
                </c:pt>
                <c:pt idx="7">
                  <c:v>-2.5</c:v>
                </c:pt>
                <c:pt idx="8">
                  <c:v>-2</c:v>
                </c:pt>
                <c:pt idx="9">
                  <c:v>-1.5</c:v>
                </c:pt>
                <c:pt idx="10">
                  <c:v>-1</c:v>
                </c:pt>
                <c:pt idx="11">
                  <c:v>-0.5</c:v>
                </c:pt>
                <c:pt idx="12">
                  <c:v>0</c:v>
                </c:pt>
                <c:pt idx="13">
                  <c:v>0.5</c:v>
                </c:pt>
                <c:pt idx="14">
                  <c:v>1</c:v>
                </c:pt>
                <c:pt idx="15">
                  <c:v>1.5</c:v>
                </c:pt>
                <c:pt idx="16">
                  <c:v>2</c:v>
                </c:pt>
                <c:pt idx="17">
                  <c:v>2.5</c:v>
                </c:pt>
                <c:pt idx="18">
                  <c:v>3</c:v>
                </c:pt>
              </c:numCache>
            </c:numRef>
          </c:xVal>
          <c:yVal>
            <c:numRef>
              <c:f>'TP2'!$B$2:$B$20</c:f>
              <c:numCache>
                <c:formatCode>General</c:formatCode>
                <c:ptCount val="19"/>
                <c:pt idx="0">
                  <c:v>14</c:v>
                </c:pt>
                <c:pt idx="1">
                  <c:v>9.75</c:v>
                </c:pt>
                <c:pt idx="2">
                  <c:v>6</c:v>
                </c:pt>
                <c:pt idx="3">
                  <c:v>2.75</c:v>
                </c:pt>
                <c:pt idx="4">
                  <c:v>0</c:v>
                </c:pt>
                <c:pt idx="5">
                  <c:v>-2.25</c:v>
                </c:pt>
                <c:pt idx="6">
                  <c:v>-4</c:v>
                </c:pt>
                <c:pt idx="7">
                  <c:v>-5.25</c:v>
                </c:pt>
                <c:pt idx="8">
                  <c:v>-6</c:v>
                </c:pt>
                <c:pt idx="9">
                  <c:v>-6.25</c:v>
                </c:pt>
                <c:pt idx="10">
                  <c:v>-6</c:v>
                </c:pt>
                <c:pt idx="11">
                  <c:v>-5.25</c:v>
                </c:pt>
                <c:pt idx="12">
                  <c:v>-4</c:v>
                </c:pt>
                <c:pt idx="13">
                  <c:v>-2.25</c:v>
                </c:pt>
                <c:pt idx="14">
                  <c:v>0</c:v>
                </c:pt>
                <c:pt idx="15">
                  <c:v>2.75</c:v>
                </c:pt>
                <c:pt idx="16">
                  <c:v>6</c:v>
                </c:pt>
                <c:pt idx="17">
                  <c:v>9.75</c:v>
                </c:pt>
                <c:pt idx="18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A3-4E41-9F71-33530F935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13119"/>
        <c:axId val="1205222255"/>
      </c:scatterChart>
      <c:valAx>
        <c:axId val="47013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5222255"/>
        <c:crosses val="autoZero"/>
        <c:crossBetween val="midCat"/>
      </c:valAx>
      <c:valAx>
        <c:axId val="12052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0131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ni</a:t>
            </a:r>
            <a:r>
              <a:rPr lang="fr-FR" baseline="0"/>
              <a:t> par classes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'TP4'!$F$10:$F$24</c:f>
              <c:strCache>
                <c:ptCount val="15"/>
                <c:pt idx="0">
                  <c:v>[154;156]</c:v>
                </c:pt>
                <c:pt idx="1">
                  <c:v>[156;158]</c:v>
                </c:pt>
                <c:pt idx="2">
                  <c:v>[158;160]</c:v>
                </c:pt>
                <c:pt idx="3">
                  <c:v>[160;162]</c:v>
                </c:pt>
                <c:pt idx="4">
                  <c:v>[162;164]</c:v>
                </c:pt>
                <c:pt idx="5">
                  <c:v>[164;166]</c:v>
                </c:pt>
                <c:pt idx="6">
                  <c:v>[166;168]</c:v>
                </c:pt>
                <c:pt idx="7">
                  <c:v>[168;170]</c:v>
                </c:pt>
                <c:pt idx="8">
                  <c:v>[170;172]</c:v>
                </c:pt>
                <c:pt idx="9">
                  <c:v>[172;174]</c:v>
                </c:pt>
                <c:pt idx="10">
                  <c:v>[174;176]</c:v>
                </c:pt>
                <c:pt idx="11">
                  <c:v>[176;178]</c:v>
                </c:pt>
                <c:pt idx="12">
                  <c:v>[178;180]</c:v>
                </c:pt>
                <c:pt idx="13">
                  <c:v>[180;182]</c:v>
                </c:pt>
                <c:pt idx="14">
                  <c:v>[182;184]</c:v>
                </c:pt>
              </c:strCache>
            </c:strRef>
          </c:cat>
          <c:val>
            <c:numRef>
              <c:f>'TP4'!$I$10:$I$24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16</c:v>
                </c:pt>
                <c:pt idx="3">
                  <c:v>80</c:v>
                </c:pt>
                <c:pt idx="4">
                  <c:v>264</c:v>
                </c:pt>
                <c:pt idx="5">
                  <c:v>468</c:v>
                </c:pt>
                <c:pt idx="6">
                  <c:v>743</c:v>
                </c:pt>
                <c:pt idx="7">
                  <c:v>1018</c:v>
                </c:pt>
                <c:pt idx="8">
                  <c:v>875</c:v>
                </c:pt>
                <c:pt idx="9">
                  <c:v>707</c:v>
                </c:pt>
                <c:pt idx="10">
                  <c:v>462</c:v>
                </c:pt>
                <c:pt idx="11">
                  <c:v>234</c:v>
                </c:pt>
                <c:pt idx="12">
                  <c:v>90</c:v>
                </c:pt>
                <c:pt idx="13">
                  <c:v>29</c:v>
                </c:pt>
                <c:pt idx="1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A-4671-ABD8-F29EF4911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70424303"/>
        <c:axId val="970453103"/>
      </c:barChart>
      <c:catAx>
        <c:axId val="9704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53103"/>
        <c:crosses val="autoZero"/>
        <c:auto val="1"/>
        <c:lblAlgn val="ctr"/>
        <c:lblOffset val="100"/>
        <c:noMultiLvlLbl val="0"/>
      </c:catAx>
      <c:valAx>
        <c:axId val="97045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2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ni</a:t>
            </a:r>
            <a:r>
              <a:rPr lang="fr-FR" baseline="0"/>
              <a:t> par classes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'TP4'!$N$17:$N$24</c:f>
              <c:strCache>
                <c:ptCount val="8"/>
                <c:pt idx="0">
                  <c:v>[154;158]</c:v>
                </c:pt>
                <c:pt idx="1">
                  <c:v>[158;162]</c:v>
                </c:pt>
                <c:pt idx="2">
                  <c:v>[162;166]</c:v>
                </c:pt>
                <c:pt idx="3">
                  <c:v>[166;170]</c:v>
                </c:pt>
                <c:pt idx="4">
                  <c:v>[170;174]</c:v>
                </c:pt>
                <c:pt idx="5">
                  <c:v>[174;178]</c:v>
                </c:pt>
                <c:pt idx="6">
                  <c:v>[178;182]</c:v>
                </c:pt>
                <c:pt idx="7">
                  <c:v>[182;186]</c:v>
                </c:pt>
              </c:strCache>
            </c:strRef>
          </c:cat>
          <c:val>
            <c:numRef>
              <c:f>'TP4'!$Q$17:$Q$24</c:f>
              <c:numCache>
                <c:formatCode>General</c:formatCode>
                <c:ptCount val="8"/>
                <c:pt idx="0">
                  <c:v>5</c:v>
                </c:pt>
                <c:pt idx="1">
                  <c:v>96</c:v>
                </c:pt>
                <c:pt idx="2">
                  <c:v>732</c:v>
                </c:pt>
                <c:pt idx="3">
                  <c:v>1761</c:v>
                </c:pt>
                <c:pt idx="4">
                  <c:v>1582</c:v>
                </c:pt>
                <c:pt idx="5">
                  <c:v>696</c:v>
                </c:pt>
                <c:pt idx="6">
                  <c:v>119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D-4657-900D-41B60F27E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70443503"/>
        <c:axId val="970447823"/>
      </c:barChart>
      <c:catAx>
        <c:axId val="97044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47823"/>
        <c:crosses val="autoZero"/>
        <c:auto val="1"/>
        <c:lblAlgn val="ctr"/>
        <c:lblOffset val="100"/>
        <c:noMultiLvlLbl val="0"/>
      </c:catAx>
      <c:valAx>
        <c:axId val="97044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0443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5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2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489-4411-891F-5F183E4B11CB}"/>
            </c:ext>
          </c:extLst>
        </c:ser>
        <c:ser>
          <c:idx val="3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489-4411-891F-5F183E4B11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489-4411-891F-5F183E4B11CB}"/>
              </c:ext>
            </c:extLst>
          </c:dPt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89-4411-891F-5F183E4B11CB}"/>
            </c:ext>
          </c:extLst>
        </c:ser>
        <c:ser>
          <c:idx val="1"/>
          <c:order val="2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89-4411-891F-5F183E4B11CB}"/>
            </c:ext>
          </c:extLst>
        </c:ser>
        <c:ser>
          <c:idx val="0"/>
          <c:order val="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489-4411-891F-5F183E4B11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489-4411-891F-5F183E4B11CB}"/>
              </c:ext>
            </c:extLst>
          </c:dPt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'TP5'!$I$3:$I$4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89-4411-891F-5F183E4B1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10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4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'TP5'!$J$3:$J$4</c:f>
              <c:numCache>
                <c:formatCode>General</c:formatCode>
                <c:ptCount val="2"/>
                <c:pt idx="0">
                  <c:v>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5AA-4354-BCB6-580ABBEC3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100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2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'TP5'!$K$3:$K$4</c:f>
              <c:numCache>
                <c:formatCode>General</c:formatCode>
                <c:ptCount val="2"/>
                <c:pt idx="0">
                  <c:v>45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2A-4410-917E-8EDBB0EAE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 repartition pour 1000 tirages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667341823429627"/>
          <c:y val="0.28882646691635461"/>
          <c:w val="0.48260922770505776"/>
          <c:h val="0.5621403363905354"/>
        </c:manualLayout>
      </c:layout>
      <c:pieChart>
        <c:varyColors val="1"/>
        <c:ser>
          <c:idx val="2"/>
          <c:order val="0"/>
          <c:cat>
            <c:strRef>
              <c:f>'TP5'!$H$3:$H$4</c:f>
              <c:strCache>
                <c:ptCount val="2"/>
                <c:pt idx="0">
                  <c:v>Pile</c:v>
                </c:pt>
                <c:pt idx="1">
                  <c:v>Face</c:v>
                </c:pt>
              </c:strCache>
            </c:strRef>
          </c:cat>
          <c:val>
            <c:numRef>
              <c:f>'TP5'!$L$3:$L$4</c:f>
              <c:numCache>
                <c:formatCode>General</c:formatCode>
                <c:ptCount val="2"/>
                <c:pt idx="0">
                  <c:v>506</c:v>
                </c:pt>
                <c:pt idx="1">
                  <c:v>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E-4B95-AD44-D3A9EE83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2</xdr:row>
      <xdr:rowOff>26670</xdr:rowOff>
    </xdr:from>
    <xdr:to>
      <xdr:col>8</xdr:col>
      <xdr:colOff>624840</xdr:colOff>
      <xdr:row>17</xdr:row>
      <xdr:rowOff>26670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D311EE-191A-B429-A8CC-4E883B3D6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30</xdr:row>
      <xdr:rowOff>171450</xdr:rowOff>
    </xdr:from>
    <xdr:to>
      <xdr:col>10</xdr:col>
      <xdr:colOff>624840</xdr:colOff>
      <xdr:row>45</xdr:row>
      <xdr:rowOff>171450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F017F31-A1EB-0B0B-4D8C-4C25359B7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784860</xdr:colOff>
      <xdr:row>31</xdr:row>
      <xdr:rowOff>3810</xdr:rowOff>
    </xdr:from>
    <xdr:to>
      <xdr:col>18</xdr:col>
      <xdr:colOff>601980</xdr:colOff>
      <xdr:row>46</xdr:row>
      <xdr:rowOff>3810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46869AE-021B-F35A-D0EF-D7CA0B2E2D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5</xdr:row>
      <xdr:rowOff>175260</xdr:rowOff>
    </xdr:from>
    <xdr:to>
      <xdr:col>10</xdr:col>
      <xdr:colOff>7620</xdr:colOff>
      <xdr:row>17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FD0670A-AD2E-3B54-4594-7EEFE2CED0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</xdr:colOff>
      <xdr:row>18</xdr:row>
      <xdr:rowOff>22860</xdr:rowOff>
    </xdr:from>
    <xdr:to>
      <xdr:col>10</xdr:col>
      <xdr:colOff>7620</xdr:colOff>
      <xdr:row>29</xdr:row>
      <xdr:rowOff>45720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8BC8840-3D93-4285-921A-E1216AE06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784860</xdr:colOff>
      <xdr:row>17</xdr:row>
      <xdr:rowOff>7620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0949E75-C9CF-4715-8C52-66D91E525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13</xdr:col>
      <xdr:colOff>784860</xdr:colOff>
      <xdr:row>29</xdr:row>
      <xdr:rowOff>22860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1EC3148-B3A6-484C-881C-221A440EA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5F63C-F174-4111-8C81-6AFE85D2F8D6}">
  <sheetPr codeName="Feuil1"/>
  <dimension ref="A1:F21"/>
  <sheetViews>
    <sheetView workbookViewId="0">
      <selection activeCell="G7" sqref="G7"/>
    </sheetView>
  </sheetViews>
  <sheetFormatPr baseColWidth="10" defaultRowHeight="14.4" x14ac:dyDescent="0.3"/>
  <cols>
    <col min="2" max="2" width="20.21875" customWidth="1"/>
    <col min="6" max="6" width="18.33203125" customWidth="1"/>
  </cols>
  <sheetData>
    <row r="1" spans="1:6" ht="15" thickBot="1" x14ac:dyDescent="0.35">
      <c r="A1" s="7" t="s">
        <v>0</v>
      </c>
      <c r="B1" s="10" t="s">
        <v>1</v>
      </c>
      <c r="C1" s="1"/>
      <c r="D1" s="10" t="s">
        <v>0</v>
      </c>
      <c r="E1" s="10" t="s">
        <v>2</v>
      </c>
      <c r="F1" s="8" t="s">
        <v>3</v>
      </c>
    </row>
    <row r="2" spans="1:6" x14ac:dyDescent="0.3">
      <c r="A2" s="3">
        <v>1</v>
      </c>
      <c r="B2" s="12">
        <f>A2</f>
        <v>1</v>
      </c>
      <c r="C2" s="1"/>
      <c r="D2" s="11">
        <v>1</v>
      </c>
      <c r="E2" s="11">
        <v>1</v>
      </c>
      <c r="F2" s="9">
        <v>1</v>
      </c>
    </row>
    <row r="3" spans="1:6" x14ac:dyDescent="0.3">
      <c r="A3" s="3">
        <v>2</v>
      </c>
      <c r="B3" s="12">
        <f>A3+B2</f>
        <v>3</v>
      </c>
      <c r="C3" s="1"/>
      <c r="D3" s="12">
        <v>2</v>
      </c>
      <c r="E3" s="12">
        <f>2*D3 -1</f>
        <v>3</v>
      </c>
      <c r="F3" s="4">
        <f>E3+F2</f>
        <v>4</v>
      </c>
    </row>
    <row r="4" spans="1:6" x14ac:dyDescent="0.3">
      <c r="A4" s="3">
        <v>3</v>
      </c>
      <c r="B4" s="12">
        <f t="shared" ref="B4:B21" si="0">A4+B3</f>
        <v>6</v>
      </c>
      <c r="C4" s="1"/>
      <c r="D4" s="12">
        <v>3</v>
      </c>
      <c r="E4" s="12">
        <f t="shared" ref="E4:E21" si="1">2*D4 -1</f>
        <v>5</v>
      </c>
      <c r="F4" s="4">
        <f t="shared" ref="F4:F21" si="2">E4+F3</f>
        <v>9</v>
      </c>
    </row>
    <row r="5" spans="1:6" x14ac:dyDescent="0.3">
      <c r="A5" s="3">
        <v>4</v>
      </c>
      <c r="B5" s="12">
        <f t="shared" si="0"/>
        <v>10</v>
      </c>
      <c r="C5" s="1"/>
      <c r="D5" s="12">
        <v>4</v>
      </c>
      <c r="E5" s="12">
        <f t="shared" si="1"/>
        <v>7</v>
      </c>
      <c r="F5" s="4">
        <f t="shared" si="2"/>
        <v>16</v>
      </c>
    </row>
    <row r="6" spans="1:6" x14ac:dyDescent="0.3">
      <c r="A6" s="3">
        <v>5</v>
      </c>
      <c r="B6" s="12">
        <f t="shared" si="0"/>
        <v>15</v>
      </c>
      <c r="C6" s="1"/>
      <c r="D6" s="12">
        <v>5</v>
      </c>
      <c r="E6" s="12">
        <f t="shared" si="1"/>
        <v>9</v>
      </c>
      <c r="F6" s="4">
        <f t="shared" si="2"/>
        <v>25</v>
      </c>
    </row>
    <row r="7" spans="1:6" x14ac:dyDescent="0.3">
      <c r="A7" s="3">
        <v>6</v>
      </c>
      <c r="B7" s="12">
        <f t="shared" si="0"/>
        <v>21</v>
      </c>
      <c r="C7" s="1"/>
      <c r="D7" s="12">
        <v>6</v>
      </c>
      <c r="E7" s="12">
        <f t="shared" si="1"/>
        <v>11</v>
      </c>
      <c r="F7" s="4">
        <f t="shared" si="2"/>
        <v>36</v>
      </c>
    </row>
    <row r="8" spans="1:6" x14ac:dyDescent="0.3">
      <c r="A8" s="3">
        <v>7</v>
      </c>
      <c r="B8" s="12">
        <f t="shared" si="0"/>
        <v>28</v>
      </c>
      <c r="C8" s="1"/>
      <c r="D8" s="12">
        <v>7</v>
      </c>
      <c r="E8" s="12">
        <f t="shared" si="1"/>
        <v>13</v>
      </c>
      <c r="F8" s="4">
        <f t="shared" si="2"/>
        <v>49</v>
      </c>
    </row>
    <row r="9" spans="1:6" x14ac:dyDescent="0.3">
      <c r="A9" s="3">
        <v>8</v>
      </c>
      <c r="B9" s="12">
        <f t="shared" si="0"/>
        <v>36</v>
      </c>
      <c r="C9" s="1"/>
      <c r="D9" s="12">
        <v>8</v>
      </c>
      <c r="E9" s="12">
        <f t="shared" si="1"/>
        <v>15</v>
      </c>
      <c r="F9" s="4">
        <f t="shared" si="2"/>
        <v>64</v>
      </c>
    </row>
    <row r="10" spans="1:6" x14ac:dyDescent="0.3">
      <c r="A10" s="3">
        <v>9</v>
      </c>
      <c r="B10" s="12">
        <f t="shared" si="0"/>
        <v>45</v>
      </c>
      <c r="C10" s="1"/>
      <c r="D10" s="12">
        <v>9</v>
      </c>
      <c r="E10" s="12">
        <f t="shared" si="1"/>
        <v>17</v>
      </c>
      <c r="F10" s="4">
        <f t="shared" si="2"/>
        <v>81</v>
      </c>
    </row>
    <row r="11" spans="1:6" x14ac:dyDescent="0.3">
      <c r="A11" s="3">
        <v>10</v>
      </c>
      <c r="B11" s="12">
        <f t="shared" si="0"/>
        <v>55</v>
      </c>
      <c r="C11" s="1"/>
      <c r="D11" s="12">
        <v>10</v>
      </c>
      <c r="E11" s="12">
        <f t="shared" si="1"/>
        <v>19</v>
      </c>
      <c r="F11" s="4">
        <f t="shared" si="2"/>
        <v>100</v>
      </c>
    </row>
    <row r="12" spans="1:6" x14ac:dyDescent="0.3">
      <c r="A12" s="3">
        <v>11</v>
      </c>
      <c r="B12" s="12">
        <f t="shared" si="0"/>
        <v>66</v>
      </c>
      <c r="C12" s="1"/>
      <c r="D12" s="12">
        <v>11</v>
      </c>
      <c r="E12" s="12">
        <f t="shared" si="1"/>
        <v>21</v>
      </c>
      <c r="F12" s="4">
        <f t="shared" si="2"/>
        <v>121</v>
      </c>
    </row>
    <row r="13" spans="1:6" x14ac:dyDescent="0.3">
      <c r="A13" s="3">
        <v>12</v>
      </c>
      <c r="B13" s="12">
        <f t="shared" si="0"/>
        <v>78</v>
      </c>
      <c r="C13" s="1"/>
      <c r="D13" s="12">
        <v>12</v>
      </c>
      <c r="E13" s="12">
        <f t="shared" si="1"/>
        <v>23</v>
      </c>
      <c r="F13" s="4">
        <f t="shared" si="2"/>
        <v>144</v>
      </c>
    </row>
    <row r="14" spans="1:6" x14ac:dyDescent="0.3">
      <c r="A14" s="3">
        <v>13</v>
      </c>
      <c r="B14" s="12">
        <f t="shared" si="0"/>
        <v>91</v>
      </c>
      <c r="C14" s="1"/>
      <c r="D14" s="12">
        <v>13</v>
      </c>
      <c r="E14" s="12">
        <f t="shared" si="1"/>
        <v>25</v>
      </c>
      <c r="F14" s="4">
        <f t="shared" si="2"/>
        <v>169</v>
      </c>
    </row>
    <row r="15" spans="1:6" x14ac:dyDescent="0.3">
      <c r="A15" s="3">
        <v>14</v>
      </c>
      <c r="B15" s="12">
        <f t="shared" si="0"/>
        <v>105</v>
      </c>
      <c r="C15" s="1"/>
      <c r="D15" s="12">
        <v>14</v>
      </c>
      <c r="E15" s="12">
        <f t="shared" si="1"/>
        <v>27</v>
      </c>
      <c r="F15" s="4">
        <f t="shared" si="2"/>
        <v>196</v>
      </c>
    </row>
    <row r="16" spans="1:6" x14ac:dyDescent="0.3">
      <c r="A16" s="3">
        <v>15</v>
      </c>
      <c r="B16" s="12">
        <f t="shared" si="0"/>
        <v>120</v>
      </c>
      <c r="C16" s="1"/>
      <c r="D16" s="12">
        <v>15</v>
      </c>
      <c r="E16" s="12">
        <f t="shared" si="1"/>
        <v>29</v>
      </c>
      <c r="F16" s="4">
        <f t="shared" si="2"/>
        <v>225</v>
      </c>
    </row>
    <row r="17" spans="1:6" x14ac:dyDescent="0.3">
      <c r="A17" s="3">
        <v>16</v>
      </c>
      <c r="B17" s="12">
        <f t="shared" si="0"/>
        <v>136</v>
      </c>
      <c r="C17" s="1"/>
      <c r="D17" s="12">
        <v>16</v>
      </c>
      <c r="E17" s="12">
        <f t="shared" si="1"/>
        <v>31</v>
      </c>
      <c r="F17" s="4">
        <f t="shared" si="2"/>
        <v>256</v>
      </c>
    </row>
    <row r="18" spans="1:6" x14ac:dyDescent="0.3">
      <c r="A18" s="3">
        <v>17</v>
      </c>
      <c r="B18" s="12">
        <f t="shared" si="0"/>
        <v>153</v>
      </c>
      <c r="C18" s="1"/>
      <c r="D18" s="12">
        <v>17</v>
      </c>
      <c r="E18" s="12">
        <f t="shared" si="1"/>
        <v>33</v>
      </c>
      <c r="F18" s="4">
        <f t="shared" si="2"/>
        <v>289</v>
      </c>
    </row>
    <row r="19" spans="1:6" x14ac:dyDescent="0.3">
      <c r="A19" s="3">
        <v>18</v>
      </c>
      <c r="B19" s="12">
        <f t="shared" si="0"/>
        <v>171</v>
      </c>
      <c r="C19" s="1"/>
      <c r="D19" s="12">
        <v>18</v>
      </c>
      <c r="E19" s="12">
        <f t="shared" si="1"/>
        <v>35</v>
      </c>
      <c r="F19" s="4">
        <f t="shared" si="2"/>
        <v>324</v>
      </c>
    </row>
    <row r="20" spans="1:6" x14ac:dyDescent="0.3">
      <c r="A20" s="3">
        <v>19</v>
      </c>
      <c r="B20" s="12">
        <f t="shared" si="0"/>
        <v>190</v>
      </c>
      <c r="C20" s="1"/>
      <c r="D20" s="12">
        <v>19</v>
      </c>
      <c r="E20" s="12">
        <f t="shared" si="1"/>
        <v>37</v>
      </c>
      <c r="F20" s="4">
        <f t="shared" si="2"/>
        <v>361</v>
      </c>
    </row>
    <row r="21" spans="1:6" ht="15" thickBot="1" x14ac:dyDescent="0.35">
      <c r="A21" s="5">
        <v>20</v>
      </c>
      <c r="B21" s="13">
        <f t="shared" si="0"/>
        <v>210</v>
      </c>
      <c r="C21" s="1"/>
      <c r="D21" s="13">
        <v>20</v>
      </c>
      <c r="E21" s="13">
        <f t="shared" si="1"/>
        <v>39</v>
      </c>
      <c r="F21" s="6">
        <f t="shared" si="2"/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01B1-7577-478F-AD1B-27526685C404}">
  <sheetPr codeName="Feuil2"/>
  <dimension ref="A1:B20"/>
  <sheetViews>
    <sheetView workbookViewId="0">
      <selection activeCell="B2" sqref="B2"/>
    </sheetView>
  </sheetViews>
  <sheetFormatPr baseColWidth="10" defaultRowHeight="14.4" x14ac:dyDescent="0.3"/>
  <sheetData>
    <row r="1" spans="1:2" x14ac:dyDescent="0.3">
      <c r="A1" s="2" t="s">
        <v>4</v>
      </c>
      <c r="B1" s="15" t="s">
        <v>5</v>
      </c>
    </row>
    <row r="2" spans="1:2" x14ac:dyDescent="0.3">
      <c r="A2" s="16">
        <v>-6</v>
      </c>
      <c r="B2" s="17">
        <f>A2*A2+3*A2-4</f>
        <v>14</v>
      </c>
    </row>
    <row r="3" spans="1:2" x14ac:dyDescent="0.3">
      <c r="A3" s="16">
        <v>-5.5</v>
      </c>
      <c r="B3" s="17">
        <f t="shared" ref="B3:B20" si="0">A3*A3+3*A3-4</f>
        <v>9.75</v>
      </c>
    </row>
    <row r="4" spans="1:2" x14ac:dyDescent="0.3">
      <c r="A4" s="16">
        <v>-5</v>
      </c>
      <c r="B4" s="17">
        <f t="shared" si="0"/>
        <v>6</v>
      </c>
    </row>
    <row r="5" spans="1:2" x14ac:dyDescent="0.3">
      <c r="A5" s="16">
        <v>-4.5</v>
      </c>
      <c r="B5" s="17">
        <f t="shared" si="0"/>
        <v>2.75</v>
      </c>
    </row>
    <row r="6" spans="1:2" x14ac:dyDescent="0.3">
      <c r="A6" s="16">
        <v>-4</v>
      </c>
      <c r="B6" s="17">
        <f t="shared" si="0"/>
        <v>0</v>
      </c>
    </row>
    <row r="7" spans="1:2" x14ac:dyDescent="0.3">
      <c r="A7" s="16">
        <v>-3.5</v>
      </c>
      <c r="B7" s="17">
        <f t="shared" si="0"/>
        <v>-2.25</v>
      </c>
    </row>
    <row r="8" spans="1:2" x14ac:dyDescent="0.3">
      <c r="A8" s="16">
        <v>-3</v>
      </c>
      <c r="B8" s="17">
        <f t="shared" si="0"/>
        <v>-4</v>
      </c>
    </row>
    <row r="9" spans="1:2" x14ac:dyDescent="0.3">
      <c r="A9" s="16">
        <v>-2.5</v>
      </c>
      <c r="B9" s="17">
        <f t="shared" si="0"/>
        <v>-5.25</v>
      </c>
    </row>
    <row r="10" spans="1:2" x14ac:dyDescent="0.3">
      <c r="A10" s="16">
        <v>-2</v>
      </c>
      <c r="B10" s="17">
        <f t="shared" si="0"/>
        <v>-6</v>
      </c>
    </row>
    <row r="11" spans="1:2" x14ac:dyDescent="0.3">
      <c r="A11" s="16">
        <v>-1.5</v>
      </c>
      <c r="B11" s="17">
        <f t="shared" si="0"/>
        <v>-6.25</v>
      </c>
    </row>
    <row r="12" spans="1:2" x14ac:dyDescent="0.3">
      <c r="A12" s="16">
        <v>-1</v>
      </c>
      <c r="B12" s="17">
        <f t="shared" si="0"/>
        <v>-6</v>
      </c>
    </row>
    <row r="13" spans="1:2" x14ac:dyDescent="0.3">
      <c r="A13" s="16">
        <v>-0.5</v>
      </c>
      <c r="B13" s="17">
        <f t="shared" si="0"/>
        <v>-5.25</v>
      </c>
    </row>
    <row r="14" spans="1:2" x14ac:dyDescent="0.3">
      <c r="A14" s="16">
        <v>0</v>
      </c>
      <c r="B14" s="17">
        <f t="shared" si="0"/>
        <v>-4</v>
      </c>
    </row>
    <row r="15" spans="1:2" x14ac:dyDescent="0.3">
      <c r="A15" s="16">
        <v>0.5</v>
      </c>
      <c r="B15" s="17">
        <f t="shared" si="0"/>
        <v>-2.25</v>
      </c>
    </row>
    <row r="16" spans="1:2" x14ac:dyDescent="0.3">
      <c r="A16" s="16">
        <v>1</v>
      </c>
      <c r="B16" s="17">
        <f t="shared" si="0"/>
        <v>0</v>
      </c>
    </row>
    <row r="17" spans="1:2" x14ac:dyDescent="0.3">
      <c r="A17" s="16">
        <v>1.5</v>
      </c>
      <c r="B17" s="17">
        <f t="shared" si="0"/>
        <v>2.75</v>
      </c>
    </row>
    <row r="18" spans="1:2" x14ac:dyDescent="0.3">
      <c r="A18" s="16">
        <v>2</v>
      </c>
      <c r="B18" s="17">
        <f t="shared" si="0"/>
        <v>6</v>
      </c>
    </row>
    <row r="19" spans="1:2" x14ac:dyDescent="0.3">
      <c r="A19" s="16">
        <v>2.5</v>
      </c>
      <c r="B19" s="17">
        <f t="shared" si="0"/>
        <v>9.75</v>
      </c>
    </row>
    <row r="20" spans="1:2" ht="15" thickBot="1" x14ac:dyDescent="0.35">
      <c r="A20" s="18">
        <v>3</v>
      </c>
      <c r="B20" s="19">
        <f t="shared" si="0"/>
        <v>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216FF-6245-4987-A870-233380DC5427}">
  <sheetPr codeName="Feuil3"/>
  <dimension ref="A2:E15"/>
  <sheetViews>
    <sheetView workbookViewId="0">
      <selection activeCell="D11" sqref="D11"/>
    </sheetView>
  </sheetViews>
  <sheetFormatPr baseColWidth="10" defaultRowHeight="14.4" x14ac:dyDescent="0.3"/>
  <sheetData>
    <row r="2" spans="1:5" ht="15" thickBot="1" x14ac:dyDescent="0.35"/>
    <row r="3" spans="1:5" ht="15" thickBot="1" x14ac:dyDescent="0.35">
      <c r="A3" s="20" t="s">
        <v>6</v>
      </c>
      <c r="B3" s="14">
        <v>1</v>
      </c>
      <c r="C3" s="1"/>
      <c r="D3" s="10" t="s">
        <v>8</v>
      </c>
      <c r="E3" s="14">
        <v>0</v>
      </c>
    </row>
    <row r="4" spans="1:5" ht="15" thickBot="1" x14ac:dyDescent="0.35">
      <c r="A4" s="21" t="s">
        <v>7</v>
      </c>
      <c r="B4" s="13">
        <v>1</v>
      </c>
      <c r="C4" s="1"/>
      <c r="D4" s="22" t="s">
        <v>9</v>
      </c>
      <c r="E4" s="13">
        <v>1</v>
      </c>
    </row>
    <row r="6" spans="1:5" ht="15" thickBot="1" x14ac:dyDescent="0.35"/>
    <row r="7" spans="1:5" ht="15" thickBot="1" x14ac:dyDescent="0.35">
      <c r="A7" s="23" t="s">
        <v>10</v>
      </c>
      <c r="B7" s="27" t="s">
        <v>11</v>
      </c>
    </row>
    <row r="8" spans="1:5" x14ac:dyDescent="0.3">
      <c r="A8" s="24">
        <v>0</v>
      </c>
      <c r="B8" s="28">
        <f>$E$3</f>
        <v>0</v>
      </c>
    </row>
    <row r="9" spans="1:5" x14ac:dyDescent="0.3">
      <c r="A9" s="25">
        <v>1</v>
      </c>
      <c r="B9" s="29">
        <f>$E$4</f>
        <v>1</v>
      </c>
    </row>
    <row r="10" spans="1:5" x14ac:dyDescent="0.3">
      <c r="A10" s="25">
        <v>2</v>
      </c>
      <c r="B10" s="29">
        <f>B$3*B8+B$4*B9</f>
        <v>1</v>
      </c>
    </row>
    <row r="11" spans="1:5" x14ac:dyDescent="0.3">
      <c r="A11" s="25">
        <v>3</v>
      </c>
      <c r="B11" s="29">
        <f t="shared" ref="B11:B15" si="0">B$3*B9+B$4*B10</f>
        <v>2</v>
      </c>
    </row>
    <row r="12" spans="1:5" x14ac:dyDescent="0.3">
      <c r="A12" s="25">
        <v>4</v>
      </c>
      <c r="B12" s="29">
        <f t="shared" si="0"/>
        <v>3</v>
      </c>
    </row>
    <row r="13" spans="1:5" x14ac:dyDescent="0.3">
      <c r="A13" s="25">
        <v>5</v>
      </c>
      <c r="B13" s="29">
        <f t="shared" si="0"/>
        <v>5</v>
      </c>
    </row>
    <row r="14" spans="1:5" x14ac:dyDescent="0.3">
      <c r="A14" s="25">
        <v>6</v>
      </c>
      <c r="B14" s="29">
        <f t="shared" si="0"/>
        <v>8</v>
      </c>
    </row>
    <row r="15" spans="1:5" ht="15" thickBot="1" x14ac:dyDescent="0.35">
      <c r="A15" s="26">
        <v>7</v>
      </c>
      <c r="B15" s="30">
        <f t="shared" si="0"/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B28B8-21C2-4427-B30D-D3DEE2EF0B20}">
  <sheetPr codeName="Feuil4"/>
  <dimension ref="B1:T28"/>
  <sheetViews>
    <sheetView topLeftCell="D21" workbookViewId="0">
      <selection activeCell="J28" sqref="J28"/>
    </sheetView>
  </sheetViews>
  <sheetFormatPr baseColWidth="10" defaultRowHeight="14.4" x14ac:dyDescent="0.3"/>
  <cols>
    <col min="1" max="1" width="21.6640625" customWidth="1"/>
  </cols>
  <sheetData>
    <row r="1" spans="2:20" ht="15" thickBot="1" x14ac:dyDescent="0.35">
      <c r="B1" s="108" t="s">
        <v>13</v>
      </c>
      <c r="C1" s="109"/>
      <c r="D1" s="109"/>
      <c r="E1" s="109"/>
      <c r="F1" s="109"/>
      <c r="G1" s="110"/>
    </row>
    <row r="2" spans="2:20" ht="15" thickBot="1" x14ac:dyDescent="0.35">
      <c r="B2" s="32" t="s">
        <v>14</v>
      </c>
      <c r="C2" s="34">
        <f>MIN(Donnees!A3:T252)</f>
        <v>154.27999877929699</v>
      </c>
      <c r="D2" s="33" t="s">
        <v>16</v>
      </c>
      <c r="E2" s="34">
        <f>AVERAGE(Donnees!A3:T252)</f>
        <v>169.96137203674317</v>
      </c>
      <c r="F2" s="32" t="s">
        <v>17</v>
      </c>
      <c r="G2" s="34">
        <f>VARP(Donnees!A3:T252)</f>
        <v>16.519347321501527</v>
      </c>
    </row>
    <row r="3" spans="2:20" ht="15" thickBot="1" x14ac:dyDescent="0.35">
      <c r="B3" s="32" t="s">
        <v>15</v>
      </c>
      <c r="C3" s="34">
        <f>MAX(Donnees!A3:T252)</f>
        <v>183.80000305175801</v>
      </c>
      <c r="F3" s="31" t="s">
        <v>18</v>
      </c>
      <c r="G3" s="35">
        <f>SQRT(G2)</f>
        <v>4.0643999952639414</v>
      </c>
    </row>
    <row r="6" spans="2:20" ht="15" thickBot="1" x14ac:dyDescent="0.35"/>
    <row r="7" spans="2:20" ht="15" thickBot="1" x14ac:dyDescent="0.35">
      <c r="F7" s="111" t="s">
        <v>31</v>
      </c>
      <c r="G7" s="112"/>
      <c r="H7" s="112"/>
      <c r="I7" s="112"/>
      <c r="J7" s="112"/>
      <c r="K7" s="112"/>
      <c r="L7" s="113"/>
    </row>
    <row r="8" spans="2:20" ht="15" thickBot="1" x14ac:dyDescent="0.35"/>
    <row r="9" spans="2:20" ht="15" thickBot="1" x14ac:dyDescent="0.35">
      <c r="B9" s="108" t="s">
        <v>22</v>
      </c>
      <c r="C9" s="110"/>
      <c r="D9" s="40" t="s">
        <v>21</v>
      </c>
      <c r="F9" s="40" t="s">
        <v>22</v>
      </c>
      <c r="G9" s="49" t="s">
        <v>24</v>
      </c>
      <c r="H9" s="50" t="s">
        <v>25</v>
      </c>
      <c r="I9" s="50" t="s">
        <v>26</v>
      </c>
      <c r="J9" s="50" t="s">
        <v>27</v>
      </c>
      <c r="K9" s="50" t="s">
        <v>28</v>
      </c>
      <c r="L9" s="51" t="s">
        <v>29</v>
      </c>
    </row>
    <row r="10" spans="2:20" ht="15" thickBot="1" x14ac:dyDescent="0.35">
      <c r="B10" s="114" t="s">
        <v>19</v>
      </c>
      <c r="C10" s="115"/>
      <c r="D10" s="14">
        <f>COUNTIF(donnee,"&gt;="&amp;E2)</f>
        <v>2415</v>
      </c>
      <c r="F10" s="46" t="str">
        <f>"["&amp;G10&amp;";"&amp;H10&amp;"]"</f>
        <v>[154;156]</v>
      </c>
      <c r="G10" s="47">
        <v>154</v>
      </c>
      <c r="H10" s="54">
        <f>G10+2</f>
        <v>156</v>
      </c>
      <c r="I10" s="48">
        <f t="shared" ref="I10:I24" si="0">COUNTIF(donnee,"&gt;="&amp;G10) - COUNTIF(donnee,"&gt;="&amp;H10)</f>
        <v>2</v>
      </c>
      <c r="J10" s="54">
        <f>(H10+G10)/2</f>
        <v>155</v>
      </c>
      <c r="K10" s="48">
        <f>I10*J10</f>
        <v>310</v>
      </c>
      <c r="L10" s="57">
        <f>I10*J10^2</f>
        <v>48050</v>
      </c>
    </row>
    <row r="11" spans="2:20" ht="15" thickBot="1" x14ac:dyDescent="0.35">
      <c r="B11" s="116" t="s">
        <v>20</v>
      </c>
      <c r="C11" s="117"/>
      <c r="D11" s="13">
        <f>COUNTIF(donnee,"&lt;="&amp;E2)</f>
        <v>2585</v>
      </c>
      <c r="F11" s="44" t="str">
        <f t="shared" ref="F11:F24" si="1">"["&amp;G11&amp;";"&amp;H11&amp;"]"</f>
        <v>[156;158]</v>
      </c>
      <c r="G11" s="43">
        <v>156</v>
      </c>
      <c r="H11" s="55">
        <f t="shared" ref="H11:H24" si="2">G11+2</f>
        <v>158</v>
      </c>
      <c r="I11" s="42">
        <f t="shared" si="0"/>
        <v>3</v>
      </c>
      <c r="J11" s="55">
        <f t="shared" ref="J11:J24" si="3">(H11+G11)/2</f>
        <v>157</v>
      </c>
      <c r="K11" s="42">
        <f t="shared" ref="K11:K24" si="4">I11*J11</f>
        <v>471</v>
      </c>
      <c r="L11" s="58">
        <f t="shared" ref="L11:L24" si="5">I11*J11^2</f>
        <v>73947</v>
      </c>
    </row>
    <row r="12" spans="2:20" ht="15" thickBot="1" x14ac:dyDescent="0.35">
      <c r="B12" s="118" t="s">
        <v>23</v>
      </c>
      <c r="C12" s="119"/>
      <c r="D12" s="14">
        <f>D10+D11</f>
        <v>5000</v>
      </c>
      <c r="F12" s="44" t="str">
        <f t="shared" si="1"/>
        <v>[158;160]</v>
      </c>
      <c r="G12" s="43">
        <v>158</v>
      </c>
      <c r="H12" s="55">
        <f t="shared" si="2"/>
        <v>160</v>
      </c>
      <c r="I12" s="42">
        <f t="shared" si="0"/>
        <v>16</v>
      </c>
      <c r="J12" s="55">
        <f t="shared" si="3"/>
        <v>159</v>
      </c>
      <c r="K12" s="42">
        <f t="shared" si="4"/>
        <v>2544</v>
      </c>
      <c r="L12" s="58">
        <f t="shared" si="5"/>
        <v>404496</v>
      </c>
    </row>
    <row r="13" spans="2:20" ht="15" thickBot="1" x14ac:dyDescent="0.35">
      <c r="F13" s="44" t="str">
        <f t="shared" si="1"/>
        <v>[160;162]</v>
      </c>
      <c r="G13" s="43">
        <v>160</v>
      </c>
      <c r="H13" s="55">
        <f t="shared" si="2"/>
        <v>162</v>
      </c>
      <c r="I13" s="42">
        <f t="shared" si="0"/>
        <v>80</v>
      </c>
      <c r="J13" s="55">
        <f t="shared" si="3"/>
        <v>161</v>
      </c>
      <c r="K13" s="42">
        <f t="shared" si="4"/>
        <v>12880</v>
      </c>
      <c r="L13" s="58">
        <f t="shared" si="5"/>
        <v>2073680</v>
      </c>
    </row>
    <row r="14" spans="2:20" ht="15" thickBot="1" x14ac:dyDescent="0.35">
      <c r="F14" s="44" t="str">
        <f t="shared" si="1"/>
        <v>[162;164]</v>
      </c>
      <c r="G14" s="43">
        <v>162</v>
      </c>
      <c r="H14" s="55">
        <f t="shared" si="2"/>
        <v>164</v>
      </c>
      <c r="I14" s="42">
        <f t="shared" si="0"/>
        <v>264</v>
      </c>
      <c r="J14" s="55">
        <f t="shared" si="3"/>
        <v>163</v>
      </c>
      <c r="K14" s="42">
        <f t="shared" si="4"/>
        <v>43032</v>
      </c>
      <c r="L14" s="58">
        <f t="shared" si="5"/>
        <v>7014216</v>
      </c>
      <c r="N14" s="111" t="s">
        <v>30</v>
      </c>
      <c r="O14" s="112"/>
      <c r="P14" s="112"/>
      <c r="Q14" s="112"/>
      <c r="R14" s="112"/>
      <c r="S14" s="112"/>
      <c r="T14" s="113"/>
    </row>
    <row r="15" spans="2:20" ht="15" thickBot="1" x14ac:dyDescent="0.35">
      <c r="F15" s="44" t="str">
        <f t="shared" si="1"/>
        <v>[164;166]</v>
      </c>
      <c r="G15" s="43">
        <v>164</v>
      </c>
      <c r="H15" s="55">
        <f t="shared" si="2"/>
        <v>166</v>
      </c>
      <c r="I15" s="42">
        <f t="shared" si="0"/>
        <v>468</v>
      </c>
      <c r="J15" s="55">
        <f t="shared" si="3"/>
        <v>165</v>
      </c>
      <c r="K15" s="42">
        <f t="shared" si="4"/>
        <v>77220</v>
      </c>
      <c r="L15" s="58">
        <f t="shared" si="5"/>
        <v>12741300</v>
      </c>
    </row>
    <row r="16" spans="2:20" ht="15" thickBot="1" x14ac:dyDescent="0.35">
      <c r="F16" s="44" t="str">
        <f t="shared" si="1"/>
        <v>[166;168]</v>
      </c>
      <c r="G16" s="43">
        <v>166</v>
      </c>
      <c r="H16" s="55">
        <f t="shared" si="2"/>
        <v>168</v>
      </c>
      <c r="I16" s="42">
        <f t="shared" si="0"/>
        <v>743</v>
      </c>
      <c r="J16" s="55">
        <f t="shared" si="3"/>
        <v>167</v>
      </c>
      <c r="K16" s="42">
        <f t="shared" si="4"/>
        <v>124081</v>
      </c>
      <c r="L16" s="58">
        <f t="shared" si="5"/>
        <v>20721527</v>
      </c>
      <c r="N16" s="40" t="s">
        <v>22</v>
      </c>
      <c r="O16" s="49" t="s">
        <v>24</v>
      </c>
      <c r="P16" s="50" t="s">
        <v>25</v>
      </c>
      <c r="Q16" s="50" t="s">
        <v>26</v>
      </c>
      <c r="R16" s="50" t="s">
        <v>27</v>
      </c>
      <c r="S16" s="50" t="s">
        <v>28</v>
      </c>
      <c r="T16" s="51" t="s">
        <v>29</v>
      </c>
    </row>
    <row r="17" spans="6:20" x14ac:dyDescent="0.3">
      <c r="F17" s="44" t="str">
        <f t="shared" si="1"/>
        <v>[168;170]</v>
      </c>
      <c r="G17" s="43">
        <v>168</v>
      </c>
      <c r="H17" s="55">
        <f t="shared" si="2"/>
        <v>170</v>
      </c>
      <c r="I17" s="42">
        <f t="shared" si="0"/>
        <v>1018</v>
      </c>
      <c r="J17" s="55">
        <f t="shared" si="3"/>
        <v>169</v>
      </c>
      <c r="K17" s="42">
        <f t="shared" si="4"/>
        <v>172042</v>
      </c>
      <c r="L17" s="58">
        <f t="shared" si="5"/>
        <v>29075098</v>
      </c>
      <c r="N17" s="46" t="str">
        <f t="shared" ref="N17:N24" si="6">"["&amp;O17&amp;";"&amp;P17&amp;"]"</f>
        <v>[154;158]</v>
      </c>
      <c r="O17" s="47">
        <v>154</v>
      </c>
      <c r="P17" s="54">
        <f>O17+4</f>
        <v>158</v>
      </c>
      <c r="Q17" s="48">
        <f t="shared" ref="Q17:Q24" si="7">COUNTIF(donnee,"&gt;="&amp;O17) - COUNTIF(donnee,"&gt;="&amp;P17)</f>
        <v>5</v>
      </c>
      <c r="R17" s="54">
        <f t="shared" ref="R17:R24" si="8">(P17+O17)/2</f>
        <v>156</v>
      </c>
      <c r="S17" s="48">
        <f t="shared" ref="S17:S24" si="9">Q17*R17</f>
        <v>780</v>
      </c>
      <c r="T17" s="57">
        <f t="shared" ref="T17:T24" si="10">Q17*R17^2</f>
        <v>121680</v>
      </c>
    </row>
    <row r="18" spans="6:20" x14ac:dyDescent="0.3">
      <c r="F18" s="44" t="str">
        <f t="shared" si="1"/>
        <v>[170;172]</v>
      </c>
      <c r="G18" s="43">
        <v>170</v>
      </c>
      <c r="H18" s="55">
        <f t="shared" si="2"/>
        <v>172</v>
      </c>
      <c r="I18" s="42">
        <f t="shared" si="0"/>
        <v>875</v>
      </c>
      <c r="J18" s="55">
        <f t="shared" si="3"/>
        <v>171</v>
      </c>
      <c r="K18" s="42">
        <f t="shared" si="4"/>
        <v>149625</v>
      </c>
      <c r="L18" s="58">
        <f t="shared" si="5"/>
        <v>25585875</v>
      </c>
      <c r="N18" s="44" t="str">
        <f t="shared" si="6"/>
        <v>[158;162]</v>
      </c>
      <c r="O18" s="43">
        <v>158</v>
      </c>
      <c r="P18" s="54">
        <f t="shared" ref="P18:P24" si="11">O18+4</f>
        <v>162</v>
      </c>
      <c r="Q18" s="42">
        <f t="shared" si="7"/>
        <v>96</v>
      </c>
      <c r="R18" s="55">
        <f t="shared" si="8"/>
        <v>160</v>
      </c>
      <c r="S18" s="42">
        <f t="shared" si="9"/>
        <v>15360</v>
      </c>
      <c r="T18" s="58">
        <f t="shared" si="10"/>
        <v>2457600</v>
      </c>
    </row>
    <row r="19" spans="6:20" x14ac:dyDescent="0.3">
      <c r="F19" s="44" t="str">
        <f t="shared" si="1"/>
        <v>[172;174]</v>
      </c>
      <c r="G19" s="43">
        <v>172</v>
      </c>
      <c r="H19" s="55">
        <f t="shared" si="2"/>
        <v>174</v>
      </c>
      <c r="I19" s="42">
        <f t="shared" si="0"/>
        <v>707</v>
      </c>
      <c r="J19" s="55">
        <f t="shared" si="3"/>
        <v>173</v>
      </c>
      <c r="K19" s="42">
        <f t="shared" si="4"/>
        <v>122311</v>
      </c>
      <c r="L19" s="58">
        <f t="shared" si="5"/>
        <v>21159803</v>
      </c>
      <c r="N19" s="44" t="str">
        <f t="shared" si="6"/>
        <v>[162;166]</v>
      </c>
      <c r="O19" s="47">
        <v>162</v>
      </c>
      <c r="P19" s="54">
        <f t="shared" si="11"/>
        <v>166</v>
      </c>
      <c r="Q19" s="42">
        <f t="shared" si="7"/>
        <v>732</v>
      </c>
      <c r="R19" s="55">
        <f t="shared" si="8"/>
        <v>164</v>
      </c>
      <c r="S19" s="42">
        <f t="shared" si="9"/>
        <v>120048</v>
      </c>
      <c r="T19" s="58">
        <f t="shared" si="10"/>
        <v>19687872</v>
      </c>
    </row>
    <row r="20" spans="6:20" x14ac:dyDescent="0.3">
      <c r="F20" s="44" t="str">
        <f t="shared" si="1"/>
        <v>[174;176]</v>
      </c>
      <c r="G20" s="43">
        <v>174</v>
      </c>
      <c r="H20" s="55">
        <f t="shared" si="2"/>
        <v>176</v>
      </c>
      <c r="I20" s="42">
        <f t="shared" si="0"/>
        <v>462</v>
      </c>
      <c r="J20" s="55">
        <f t="shared" si="3"/>
        <v>175</v>
      </c>
      <c r="K20" s="42">
        <f t="shared" si="4"/>
        <v>80850</v>
      </c>
      <c r="L20" s="58">
        <f t="shared" si="5"/>
        <v>14148750</v>
      </c>
      <c r="N20" s="44" t="str">
        <f t="shared" si="6"/>
        <v>[166;170]</v>
      </c>
      <c r="O20" s="43">
        <v>166</v>
      </c>
      <c r="P20" s="54">
        <f t="shared" si="11"/>
        <v>170</v>
      </c>
      <c r="Q20" s="42">
        <f t="shared" si="7"/>
        <v>1761</v>
      </c>
      <c r="R20" s="55">
        <f t="shared" si="8"/>
        <v>168</v>
      </c>
      <c r="S20" s="42">
        <f t="shared" si="9"/>
        <v>295848</v>
      </c>
      <c r="T20" s="58">
        <f t="shared" si="10"/>
        <v>49702464</v>
      </c>
    </row>
    <row r="21" spans="6:20" x14ac:dyDescent="0.3">
      <c r="F21" s="44" t="str">
        <f t="shared" si="1"/>
        <v>[176;178]</v>
      </c>
      <c r="G21" s="43">
        <v>176</v>
      </c>
      <c r="H21" s="55">
        <f t="shared" si="2"/>
        <v>178</v>
      </c>
      <c r="I21" s="42">
        <f t="shared" si="0"/>
        <v>234</v>
      </c>
      <c r="J21" s="55">
        <f t="shared" si="3"/>
        <v>177</v>
      </c>
      <c r="K21" s="42">
        <f t="shared" si="4"/>
        <v>41418</v>
      </c>
      <c r="L21" s="58">
        <f t="shared" si="5"/>
        <v>7330986</v>
      </c>
      <c r="N21" s="44" t="str">
        <f t="shared" si="6"/>
        <v>[170;174]</v>
      </c>
      <c r="O21" s="47">
        <v>170</v>
      </c>
      <c r="P21" s="54">
        <f t="shared" si="11"/>
        <v>174</v>
      </c>
      <c r="Q21" s="42">
        <f t="shared" si="7"/>
        <v>1582</v>
      </c>
      <c r="R21" s="55">
        <f t="shared" si="8"/>
        <v>172</v>
      </c>
      <c r="S21" s="42">
        <f t="shared" si="9"/>
        <v>272104</v>
      </c>
      <c r="T21" s="58">
        <f t="shared" si="10"/>
        <v>46801888</v>
      </c>
    </row>
    <row r="22" spans="6:20" x14ac:dyDescent="0.3">
      <c r="F22" s="44" t="str">
        <f t="shared" si="1"/>
        <v>[178;180]</v>
      </c>
      <c r="G22" s="43">
        <v>178</v>
      </c>
      <c r="H22" s="55">
        <f t="shared" si="2"/>
        <v>180</v>
      </c>
      <c r="I22" s="42">
        <f t="shared" si="0"/>
        <v>90</v>
      </c>
      <c r="J22" s="55">
        <f t="shared" si="3"/>
        <v>179</v>
      </c>
      <c r="K22" s="42">
        <f t="shared" si="4"/>
        <v>16110</v>
      </c>
      <c r="L22" s="58">
        <f t="shared" si="5"/>
        <v>2883690</v>
      </c>
      <c r="N22" s="44" t="str">
        <f t="shared" si="6"/>
        <v>[174;178]</v>
      </c>
      <c r="O22" s="43">
        <v>174</v>
      </c>
      <c r="P22" s="54">
        <f t="shared" si="11"/>
        <v>178</v>
      </c>
      <c r="Q22" s="42">
        <f t="shared" si="7"/>
        <v>696</v>
      </c>
      <c r="R22" s="55">
        <f t="shared" si="8"/>
        <v>176</v>
      </c>
      <c r="S22" s="42">
        <f t="shared" si="9"/>
        <v>122496</v>
      </c>
      <c r="T22" s="58">
        <f t="shared" si="10"/>
        <v>21559296</v>
      </c>
    </row>
    <row r="23" spans="6:20" x14ac:dyDescent="0.3">
      <c r="F23" s="44" t="str">
        <f t="shared" si="1"/>
        <v>[180;182]</v>
      </c>
      <c r="G23" s="43">
        <v>180</v>
      </c>
      <c r="H23" s="55">
        <f t="shared" si="2"/>
        <v>182</v>
      </c>
      <c r="I23" s="42">
        <f t="shared" si="0"/>
        <v>29</v>
      </c>
      <c r="J23" s="55">
        <f t="shared" si="3"/>
        <v>181</v>
      </c>
      <c r="K23" s="42">
        <f t="shared" si="4"/>
        <v>5249</v>
      </c>
      <c r="L23" s="58">
        <f t="shared" si="5"/>
        <v>950069</v>
      </c>
      <c r="N23" s="44" t="str">
        <f t="shared" si="6"/>
        <v>[178;182]</v>
      </c>
      <c r="O23" s="47">
        <v>178</v>
      </c>
      <c r="P23" s="54">
        <f t="shared" si="11"/>
        <v>182</v>
      </c>
      <c r="Q23" s="42">
        <f t="shared" si="7"/>
        <v>119</v>
      </c>
      <c r="R23" s="55">
        <f t="shared" si="8"/>
        <v>180</v>
      </c>
      <c r="S23" s="42">
        <f t="shared" si="9"/>
        <v>21420</v>
      </c>
      <c r="T23" s="58">
        <f t="shared" si="10"/>
        <v>3855600</v>
      </c>
    </row>
    <row r="24" spans="6:20" ht="15" thickBot="1" x14ac:dyDescent="0.35">
      <c r="F24" s="45" t="str">
        <f t="shared" si="1"/>
        <v>[182;184]</v>
      </c>
      <c r="G24" s="52">
        <v>182</v>
      </c>
      <c r="H24" s="56">
        <f t="shared" si="2"/>
        <v>184</v>
      </c>
      <c r="I24" s="53">
        <f t="shared" si="0"/>
        <v>9</v>
      </c>
      <c r="J24" s="56">
        <f t="shared" si="3"/>
        <v>183</v>
      </c>
      <c r="K24" s="53">
        <f t="shared" si="4"/>
        <v>1647</v>
      </c>
      <c r="L24" s="59">
        <f t="shared" si="5"/>
        <v>301401</v>
      </c>
      <c r="N24" s="63" t="str">
        <f t="shared" si="6"/>
        <v>[182;186]</v>
      </c>
      <c r="O24" s="64">
        <v>182</v>
      </c>
      <c r="P24" s="60">
        <f t="shared" si="11"/>
        <v>186</v>
      </c>
      <c r="Q24" s="61">
        <f t="shared" si="7"/>
        <v>9</v>
      </c>
      <c r="R24" s="65">
        <f t="shared" si="8"/>
        <v>184</v>
      </c>
      <c r="S24" s="61">
        <f t="shared" si="9"/>
        <v>1656</v>
      </c>
      <c r="T24" s="66">
        <f t="shared" si="10"/>
        <v>304704</v>
      </c>
    </row>
    <row r="25" spans="6:20" ht="15" thickBot="1" x14ac:dyDescent="0.35">
      <c r="F25" s="71" t="s">
        <v>32</v>
      </c>
      <c r="G25" s="68"/>
      <c r="H25" s="67"/>
      <c r="I25" s="68">
        <f>SUM(I10:I24)</f>
        <v>5000</v>
      </c>
      <c r="J25" s="69"/>
      <c r="K25" s="68">
        <f>SUM(K10:K24)</f>
        <v>849790</v>
      </c>
      <c r="L25" s="70">
        <f>SUM(L10:L24)</f>
        <v>144512888</v>
      </c>
      <c r="N25" s="71" t="s">
        <v>32</v>
      </c>
      <c r="O25" s="68"/>
      <c r="P25" s="67"/>
      <c r="Q25" s="68">
        <f>SUM(Q17:Q24)</f>
        <v>5000</v>
      </c>
      <c r="R25" s="69"/>
      <c r="S25" s="68">
        <f>SUM(S17:S24)</f>
        <v>849712</v>
      </c>
      <c r="T25" s="70">
        <f>SUM(T17:T24)</f>
        <v>144491104</v>
      </c>
    </row>
    <row r="26" spans="6:20" ht="15" thickBot="1" x14ac:dyDescent="0.35">
      <c r="F26" s="72" t="s">
        <v>33</v>
      </c>
      <c r="G26" s="76">
        <f>K25/I25</f>
        <v>169.958</v>
      </c>
      <c r="N26" s="72" t="s">
        <v>33</v>
      </c>
      <c r="O26" s="74">
        <f>S25/Q25</f>
        <v>169.94239999999999</v>
      </c>
    </row>
    <row r="27" spans="6:20" ht="15" thickBot="1" x14ac:dyDescent="0.35">
      <c r="F27" s="72" t="s">
        <v>34</v>
      </c>
      <c r="G27" s="76">
        <f>L25/I25-G26^2</f>
        <v>16.855836000002455</v>
      </c>
      <c r="N27" s="72" t="s">
        <v>34</v>
      </c>
      <c r="O27" s="74">
        <f>T25/Q25-O26^2</f>
        <v>17.801482240000041</v>
      </c>
    </row>
    <row r="28" spans="6:20" ht="15" thickBot="1" x14ac:dyDescent="0.35">
      <c r="F28" s="73" t="s">
        <v>35</v>
      </c>
      <c r="G28" s="77">
        <f>SQRT(G27)</f>
        <v>4.105585950872598</v>
      </c>
      <c r="N28" s="73" t="s">
        <v>35</v>
      </c>
      <c r="O28" s="75">
        <f>SQRT(O27)</f>
        <v>4.2191802805758423</v>
      </c>
    </row>
  </sheetData>
  <mergeCells count="7">
    <mergeCell ref="B1:G1"/>
    <mergeCell ref="F7:L7"/>
    <mergeCell ref="N14:T14"/>
    <mergeCell ref="B9:C9"/>
    <mergeCell ref="B10:C10"/>
    <mergeCell ref="B11:C11"/>
    <mergeCell ref="B12:C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EE9-54D0-4DB5-B68F-E1EE0D566223}">
  <sheetPr codeName="Feuil5"/>
  <dimension ref="A1:T252"/>
  <sheetViews>
    <sheetView workbookViewId="0">
      <selection activeCell="A3" sqref="A3"/>
    </sheetView>
  </sheetViews>
  <sheetFormatPr baseColWidth="10" defaultRowHeight="14.4" x14ac:dyDescent="0.3"/>
  <sheetData>
    <row r="1" spans="1:20" x14ac:dyDescent="0.3">
      <c r="E1" t="s">
        <v>12</v>
      </c>
    </row>
    <row r="3" spans="1:20" x14ac:dyDescent="0.3">
      <c r="A3">
        <v>169.75999450683599</v>
      </c>
      <c r="B3">
        <v>167.80999755859401</v>
      </c>
      <c r="C3">
        <v>169.55000305175801</v>
      </c>
      <c r="D3">
        <v>168.80000305175801</v>
      </c>
      <c r="E3">
        <v>169.669998168945</v>
      </c>
      <c r="F3">
        <v>166.47999572753901</v>
      </c>
      <c r="G3">
        <v>171.830001831055</v>
      </c>
      <c r="H3">
        <v>168.53999328613301</v>
      </c>
      <c r="I3">
        <v>173.71000671386699</v>
      </c>
      <c r="J3">
        <v>170.66000366210901</v>
      </c>
      <c r="K3">
        <v>160.99000549316401</v>
      </c>
      <c r="L3">
        <v>164.52999877929699</v>
      </c>
      <c r="M3">
        <v>167.36999511718801</v>
      </c>
      <c r="N3">
        <v>177.83999633789099</v>
      </c>
      <c r="O3">
        <v>166.52999877929699</v>
      </c>
      <c r="P3">
        <v>166.27999877929699</v>
      </c>
      <c r="Q3">
        <v>168.16000366210901</v>
      </c>
      <c r="R3">
        <v>173.52000427246099</v>
      </c>
      <c r="S3">
        <v>173.94999694824199</v>
      </c>
      <c r="T3">
        <v>175.27000427246099</v>
      </c>
    </row>
    <row r="4" spans="1:20" x14ac:dyDescent="0.3">
      <c r="A4">
        <v>174.669998168945</v>
      </c>
      <c r="B4">
        <v>176.53999328613301</v>
      </c>
      <c r="C4">
        <v>167.85000610351599</v>
      </c>
      <c r="D4">
        <v>165.05000305175801</v>
      </c>
      <c r="E4">
        <v>170.86000061035199</v>
      </c>
      <c r="F4">
        <v>166.22999572753901</v>
      </c>
      <c r="G4">
        <v>170.38999938964801</v>
      </c>
      <c r="H4">
        <v>164.77999877929699</v>
      </c>
      <c r="I4">
        <v>165.11999511718801</v>
      </c>
      <c r="J4">
        <v>165.36999511718801</v>
      </c>
      <c r="K4">
        <v>173.74000549316401</v>
      </c>
      <c r="L4">
        <v>172.69999694824199</v>
      </c>
      <c r="M4">
        <v>174.94999694824199</v>
      </c>
      <c r="N4">
        <v>167.44999694824199</v>
      </c>
      <c r="O4">
        <v>163.419998168945</v>
      </c>
      <c r="P4">
        <v>174.30999755859401</v>
      </c>
      <c r="Q4">
        <v>177.83999633789099</v>
      </c>
      <c r="R4">
        <v>165.97000122070301</v>
      </c>
      <c r="S4">
        <v>168.89999389648401</v>
      </c>
      <c r="T4">
        <v>175.11000061035199</v>
      </c>
    </row>
    <row r="5" spans="1:20" x14ac:dyDescent="0.3">
      <c r="A5">
        <v>173.78999328613301</v>
      </c>
      <c r="B5">
        <v>169.11999511718801</v>
      </c>
      <c r="C5">
        <v>171.69999694824199</v>
      </c>
      <c r="D5">
        <v>170.60000610351599</v>
      </c>
      <c r="E5">
        <v>169.169998168945</v>
      </c>
      <c r="F5">
        <v>172.97999572753901</v>
      </c>
      <c r="G5">
        <v>169.88999938964801</v>
      </c>
      <c r="H5">
        <v>173.97000122070301</v>
      </c>
      <c r="I5">
        <v>169.55000305175801</v>
      </c>
      <c r="J5">
        <v>175.22999572753901</v>
      </c>
      <c r="K5">
        <v>163.83999633789099</v>
      </c>
      <c r="L5">
        <v>170.46000671386699</v>
      </c>
      <c r="M5">
        <v>180.44000244140599</v>
      </c>
      <c r="N5">
        <v>169.35000610351599</v>
      </c>
      <c r="O5">
        <v>171.03999328613301</v>
      </c>
      <c r="P5">
        <v>169.58999633789099</v>
      </c>
      <c r="Q5">
        <v>175.330001831055</v>
      </c>
      <c r="R5">
        <v>168.85000610351599</v>
      </c>
      <c r="S5">
        <v>168.99000549316401</v>
      </c>
      <c r="T5">
        <v>172.83999633789099</v>
      </c>
    </row>
    <row r="6" spans="1:20" x14ac:dyDescent="0.3">
      <c r="A6">
        <v>169.30999755859401</v>
      </c>
      <c r="B6">
        <v>171.63000488281301</v>
      </c>
      <c r="C6">
        <v>166.080001831055</v>
      </c>
      <c r="D6">
        <v>168.33999633789099</v>
      </c>
      <c r="E6">
        <v>168.38999938964801</v>
      </c>
      <c r="F6">
        <v>174.44000244140599</v>
      </c>
      <c r="G6">
        <v>160.94999694824199</v>
      </c>
      <c r="H6">
        <v>164.61999511718801</v>
      </c>
      <c r="I6">
        <v>172.42999267578099</v>
      </c>
      <c r="J6">
        <v>169.57000732421901</v>
      </c>
      <c r="K6">
        <v>175.50999450683599</v>
      </c>
      <c r="L6">
        <v>175.97000122070301</v>
      </c>
      <c r="M6">
        <v>166.89999389648401</v>
      </c>
      <c r="N6">
        <v>166.50999450683599</v>
      </c>
      <c r="O6">
        <v>171.27000427246099</v>
      </c>
      <c r="P6">
        <v>171.88000488281301</v>
      </c>
      <c r="Q6">
        <v>169.30999755859401</v>
      </c>
      <c r="R6">
        <v>174.77000427246099</v>
      </c>
      <c r="S6">
        <v>173.71000671386699</v>
      </c>
      <c r="T6">
        <v>177.86000061035199</v>
      </c>
    </row>
    <row r="7" spans="1:20" x14ac:dyDescent="0.3">
      <c r="A7">
        <v>165.53999328613301</v>
      </c>
      <c r="B7">
        <v>177.80999755859401</v>
      </c>
      <c r="C7">
        <v>173.11999511718801</v>
      </c>
      <c r="D7">
        <v>171.82000732421901</v>
      </c>
      <c r="E7">
        <v>168.49000549316401</v>
      </c>
      <c r="F7">
        <v>167.96000671386699</v>
      </c>
      <c r="G7">
        <v>169.32000732421901</v>
      </c>
      <c r="H7">
        <v>169.91000366210901</v>
      </c>
      <c r="I7">
        <v>169.30999755859401</v>
      </c>
      <c r="J7">
        <v>173.36999511718801</v>
      </c>
      <c r="K7">
        <v>166.14999389648401</v>
      </c>
      <c r="L7">
        <v>166.00999450683599</v>
      </c>
      <c r="M7">
        <v>169.52000427246099</v>
      </c>
      <c r="N7">
        <v>163.52000427246099</v>
      </c>
      <c r="O7">
        <v>169.11000061035199</v>
      </c>
      <c r="P7">
        <v>173.61000061035199</v>
      </c>
      <c r="Q7">
        <v>174.60000610351599</v>
      </c>
      <c r="R7">
        <v>167.94000244140599</v>
      </c>
      <c r="S7">
        <v>175.69000244140599</v>
      </c>
      <c r="T7">
        <v>170.21000671386699</v>
      </c>
    </row>
    <row r="8" spans="1:20" x14ac:dyDescent="0.3">
      <c r="A8">
        <v>166.71000671386699</v>
      </c>
      <c r="B8">
        <v>174.75999450683599</v>
      </c>
      <c r="C8">
        <v>169.86000061035199</v>
      </c>
      <c r="D8">
        <v>174.97000122070301</v>
      </c>
      <c r="E8">
        <v>175.27999877929699</v>
      </c>
      <c r="F8">
        <v>170.27999877929699</v>
      </c>
      <c r="G8">
        <v>173.66000366210901</v>
      </c>
      <c r="H8">
        <v>173.38999938964801</v>
      </c>
      <c r="I8">
        <v>167.67999267578099</v>
      </c>
      <c r="J8">
        <v>172.99000549316401</v>
      </c>
      <c r="K8">
        <v>172.02999877929699</v>
      </c>
      <c r="L8">
        <v>165.75999450683599</v>
      </c>
      <c r="M8">
        <v>169.38999938964801</v>
      </c>
      <c r="N8">
        <v>164.38999938964801</v>
      </c>
      <c r="O8">
        <v>162.46000671386699</v>
      </c>
      <c r="P8">
        <v>173.55999755859401</v>
      </c>
      <c r="Q8">
        <v>169.919998168945</v>
      </c>
      <c r="R8">
        <v>169.97999572753901</v>
      </c>
      <c r="S8">
        <v>166.46000671386699</v>
      </c>
      <c r="T8">
        <v>170.30999755859401</v>
      </c>
    </row>
    <row r="9" spans="1:20" x14ac:dyDescent="0.3">
      <c r="A9">
        <v>174.64999389648401</v>
      </c>
      <c r="B9">
        <v>172.75</v>
      </c>
      <c r="C9">
        <v>169.94999694824199</v>
      </c>
      <c r="D9">
        <v>165.83999633789099</v>
      </c>
      <c r="E9">
        <v>166.25999450683599</v>
      </c>
      <c r="F9">
        <v>171.27999877929699</v>
      </c>
      <c r="G9">
        <v>167.25</v>
      </c>
      <c r="H9">
        <v>170.75</v>
      </c>
      <c r="I9">
        <v>168.61999511718801</v>
      </c>
      <c r="J9">
        <v>173.94000244140599</v>
      </c>
      <c r="K9">
        <v>174.05000305175801</v>
      </c>
      <c r="L9">
        <v>166.53999328613301</v>
      </c>
      <c r="M9">
        <v>167.22999572753901</v>
      </c>
      <c r="N9">
        <v>162.22999572753901</v>
      </c>
      <c r="O9">
        <v>167.85000610351599</v>
      </c>
      <c r="P9">
        <v>170.69999694824199</v>
      </c>
      <c r="Q9">
        <v>163.60000610351599</v>
      </c>
      <c r="R9">
        <v>165.63999938964801</v>
      </c>
      <c r="S9">
        <v>174.16000366210901</v>
      </c>
      <c r="T9">
        <v>176.75</v>
      </c>
    </row>
    <row r="10" spans="1:20" x14ac:dyDescent="0.3">
      <c r="A10">
        <v>166.61000061035199</v>
      </c>
      <c r="B10">
        <v>174.919998168945</v>
      </c>
      <c r="C10">
        <v>169.44999694824199</v>
      </c>
      <c r="D10">
        <v>168.41000366210901</v>
      </c>
      <c r="E10">
        <v>172.27000427246099</v>
      </c>
      <c r="F10">
        <v>175.72999572753901</v>
      </c>
      <c r="G10">
        <v>167.77000427246099</v>
      </c>
      <c r="H10">
        <v>167.57000732421901</v>
      </c>
      <c r="I10">
        <v>160.61999511718801</v>
      </c>
      <c r="J10">
        <v>166.61999511718801</v>
      </c>
      <c r="K10">
        <v>171.52999877929699</v>
      </c>
      <c r="L10">
        <v>175.55000305175801</v>
      </c>
      <c r="M10">
        <v>173.169998168945</v>
      </c>
      <c r="N10">
        <v>165.07000732421901</v>
      </c>
      <c r="O10">
        <v>162.22999572753901</v>
      </c>
      <c r="P10">
        <v>173.85000610351599</v>
      </c>
      <c r="Q10">
        <v>175.39999389648401</v>
      </c>
      <c r="R10">
        <v>168.58999633789099</v>
      </c>
      <c r="S10">
        <v>173.36999511718801</v>
      </c>
      <c r="T10">
        <v>171.96000671386699</v>
      </c>
    </row>
    <row r="11" spans="1:20" x14ac:dyDescent="0.3">
      <c r="A11">
        <v>164.97000122070301</v>
      </c>
      <c r="B11">
        <v>175.05000305175801</v>
      </c>
      <c r="C11">
        <v>176.53999328613301</v>
      </c>
      <c r="D11">
        <v>168.27000427246099</v>
      </c>
      <c r="E11">
        <v>171.330001831055</v>
      </c>
      <c r="F11">
        <v>161.05999755859401</v>
      </c>
      <c r="G11">
        <v>171.02999877929699</v>
      </c>
      <c r="H11">
        <v>169.08999633789099</v>
      </c>
      <c r="I11">
        <v>165.32000732421901</v>
      </c>
      <c r="J11">
        <v>164.05999755859401</v>
      </c>
      <c r="K11">
        <v>171.89999389648401</v>
      </c>
      <c r="L11">
        <v>169.66000366210901</v>
      </c>
      <c r="M11">
        <v>168.44000244140599</v>
      </c>
      <c r="N11">
        <v>165.580001831055</v>
      </c>
      <c r="O11">
        <v>176.64999389648401</v>
      </c>
      <c r="P11">
        <v>171.49000549316401</v>
      </c>
      <c r="Q11">
        <v>166.19000244140599</v>
      </c>
      <c r="R11">
        <v>171.08999633789099</v>
      </c>
      <c r="S11">
        <v>170.77000427246099</v>
      </c>
      <c r="T11">
        <v>172.07000732421901</v>
      </c>
    </row>
    <row r="12" spans="1:20" x14ac:dyDescent="0.3">
      <c r="A12">
        <v>171</v>
      </c>
      <c r="B12">
        <v>167.33999633789099</v>
      </c>
      <c r="C12">
        <v>173.32000732421901</v>
      </c>
      <c r="D12">
        <v>174.419998168945</v>
      </c>
      <c r="E12">
        <v>166.33999633789099</v>
      </c>
      <c r="F12">
        <v>167.05000305175801</v>
      </c>
      <c r="G12">
        <v>176.75</v>
      </c>
      <c r="H12">
        <v>165.919998168945</v>
      </c>
      <c r="I12">
        <v>171.25</v>
      </c>
      <c r="J12">
        <v>167.71000671386699</v>
      </c>
      <c r="K12">
        <v>164.5</v>
      </c>
      <c r="L12">
        <v>169.10000610351599</v>
      </c>
      <c r="M12">
        <v>171.22000122070301</v>
      </c>
      <c r="N12">
        <v>170.80000305175801</v>
      </c>
      <c r="O12">
        <v>170.07000732421901</v>
      </c>
      <c r="P12">
        <v>173.47999572753901</v>
      </c>
      <c r="Q12">
        <v>171.75</v>
      </c>
      <c r="R12">
        <v>169.83999633789099</v>
      </c>
      <c r="S12">
        <v>174.94999694824199</v>
      </c>
      <c r="T12">
        <v>168.55999755859401</v>
      </c>
    </row>
    <row r="13" spans="1:20" x14ac:dyDescent="0.3">
      <c r="A13">
        <v>162.63000488281301</v>
      </c>
      <c r="B13">
        <v>168.08999633789099</v>
      </c>
      <c r="C13">
        <v>165.50999450683599</v>
      </c>
      <c r="D13">
        <v>168.97999572753901</v>
      </c>
      <c r="E13">
        <v>170.83999633789099</v>
      </c>
      <c r="F13">
        <v>165.66000366210901</v>
      </c>
      <c r="G13">
        <v>170.28999328613301</v>
      </c>
      <c r="H13">
        <v>167.80999755859401</v>
      </c>
      <c r="I13">
        <v>163.55000305175801</v>
      </c>
      <c r="J13">
        <v>169.11000061035199</v>
      </c>
      <c r="K13">
        <v>166.32000732421901</v>
      </c>
      <c r="L13">
        <v>171.25999450683599</v>
      </c>
      <c r="M13">
        <v>174.27000427246099</v>
      </c>
      <c r="N13">
        <v>167.94000244140599</v>
      </c>
      <c r="O13">
        <v>167.10000610351599</v>
      </c>
      <c r="P13">
        <v>172.83999633789099</v>
      </c>
      <c r="Q13">
        <v>168.49000549316401</v>
      </c>
      <c r="R13">
        <v>167.64999389648401</v>
      </c>
      <c r="S13">
        <v>166.13999938964801</v>
      </c>
      <c r="T13">
        <v>170.05000305175801</v>
      </c>
    </row>
    <row r="14" spans="1:20" x14ac:dyDescent="0.3">
      <c r="A14">
        <v>168.13999938964801</v>
      </c>
      <c r="B14">
        <v>169.52000427246099</v>
      </c>
      <c r="C14">
        <v>168.22999572753901</v>
      </c>
      <c r="D14">
        <v>172.99000549316401</v>
      </c>
      <c r="E14">
        <v>170.75</v>
      </c>
      <c r="F14">
        <v>170.72000122070301</v>
      </c>
      <c r="G14">
        <v>168.36999511718801</v>
      </c>
      <c r="H14">
        <v>165.41000366210901</v>
      </c>
      <c r="I14">
        <v>169.80000305175801</v>
      </c>
      <c r="J14">
        <v>163.74000549316401</v>
      </c>
      <c r="K14">
        <v>179.69999694824199</v>
      </c>
      <c r="L14">
        <v>172.39999389648401</v>
      </c>
      <c r="M14">
        <v>170.78999328613301</v>
      </c>
      <c r="N14">
        <v>174.080001831055</v>
      </c>
      <c r="O14">
        <v>171.72999572753901</v>
      </c>
      <c r="P14">
        <v>175.46000671386699</v>
      </c>
      <c r="Q14">
        <v>167.22000122070301</v>
      </c>
      <c r="R14">
        <v>167.22999572753901</v>
      </c>
      <c r="S14">
        <v>169.94000244140599</v>
      </c>
      <c r="T14">
        <v>168.080001831055</v>
      </c>
    </row>
    <row r="15" spans="1:20" x14ac:dyDescent="0.3">
      <c r="A15">
        <v>167.97999572753901</v>
      </c>
      <c r="B15">
        <v>173.47000122070301</v>
      </c>
      <c r="C15">
        <v>159.72999572753901</v>
      </c>
      <c r="D15">
        <v>168.08999633789099</v>
      </c>
      <c r="E15">
        <v>170.13999938964801</v>
      </c>
      <c r="F15">
        <v>167.71000671386699</v>
      </c>
      <c r="G15">
        <v>168.88999938964801</v>
      </c>
      <c r="H15">
        <v>172.00999450683599</v>
      </c>
      <c r="I15">
        <v>173.669998168945</v>
      </c>
      <c r="J15">
        <v>164.69000244140599</v>
      </c>
      <c r="K15">
        <v>170.169998168945</v>
      </c>
      <c r="L15">
        <v>165.44000244140599</v>
      </c>
      <c r="M15">
        <v>164.080001831055</v>
      </c>
      <c r="N15">
        <v>169.94000244140599</v>
      </c>
      <c r="O15">
        <v>165.08999633789099</v>
      </c>
      <c r="P15">
        <v>173.86999511718801</v>
      </c>
      <c r="Q15">
        <v>170.86999511718801</v>
      </c>
      <c r="R15">
        <v>172.92999267578099</v>
      </c>
      <c r="S15">
        <v>167.13000488281301</v>
      </c>
      <c r="T15">
        <v>166.80000305175801</v>
      </c>
    </row>
    <row r="16" spans="1:20" x14ac:dyDescent="0.3">
      <c r="A16">
        <v>160.5</v>
      </c>
      <c r="B16">
        <v>169.19999694824199</v>
      </c>
      <c r="C16">
        <v>171.16000366210901</v>
      </c>
      <c r="D16">
        <v>166.35000610351599</v>
      </c>
      <c r="E16">
        <v>168.97000122070301</v>
      </c>
      <c r="F16">
        <v>171.49000549316401</v>
      </c>
      <c r="G16">
        <v>168.61000061035199</v>
      </c>
      <c r="H16">
        <v>173.30000305175801</v>
      </c>
      <c r="I16">
        <v>172.75999450683599</v>
      </c>
      <c r="J16">
        <v>172.46000671386699</v>
      </c>
      <c r="K16">
        <v>172.11999511718801</v>
      </c>
      <c r="L16">
        <v>177.67999267578099</v>
      </c>
      <c r="M16">
        <v>177.36999511718801</v>
      </c>
      <c r="N16">
        <v>169.63000488281301</v>
      </c>
      <c r="O16">
        <v>171.19000244140599</v>
      </c>
      <c r="P16">
        <v>165.00999450683599</v>
      </c>
      <c r="Q16">
        <v>176.28999328613301</v>
      </c>
      <c r="R16">
        <v>168.49000549316401</v>
      </c>
      <c r="S16">
        <v>171.33999633789099</v>
      </c>
      <c r="T16">
        <v>168.77999877929699</v>
      </c>
    </row>
    <row r="17" spans="1:20" x14ac:dyDescent="0.3">
      <c r="A17">
        <v>171.66000366210901</v>
      </c>
      <c r="B17">
        <v>171.080001831055</v>
      </c>
      <c r="C17">
        <v>172.32000732421901</v>
      </c>
      <c r="D17">
        <v>167.96000671386699</v>
      </c>
      <c r="E17">
        <v>168.85000610351599</v>
      </c>
      <c r="F17">
        <v>172.07000732421901</v>
      </c>
      <c r="G17">
        <v>168.94999694824199</v>
      </c>
      <c r="H17">
        <v>169.080001831055</v>
      </c>
      <c r="I17">
        <v>172.28999328613301</v>
      </c>
      <c r="J17">
        <v>172.67999267578099</v>
      </c>
      <c r="K17">
        <v>170.580001831055</v>
      </c>
      <c r="L17">
        <v>172.57000732421901</v>
      </c>
      <c r="M17">
        <v>163.49000549316401</v>
      </c>
      <c r="N17">
        <v>178.42999267578099</v>
      </c>
      <c r="O17">
        <v>170.72000122070301</v>
      </c>
      <c r="P17">
        <v>167.94000244140599</v>
      </c>
      <c r="Q17">
        <v>167.94000244140599</v>
      </c>
      <c r="R17">
        <v>178.80000305175801</v>
      </c>
      <c r="S17">
        <v>166.86000061035199</v>
      </c>
      <c r="T17">
        <v>168.69000244140599</v>
      </c>
    </row>
    <row r="18" spans="1:20" x14ac:dyDescent="0.3">
      <c r="A18">
        <v>168.830001831055</v>
      </c>
      <c r="B18">
        <v>176.38000488281199</v>
      </c>
      <c r="C18">
        <v>173.36999511718801</v>
      </c>
      <c r="D18">
        <v>171.00999450683599</v>
      </c>
      <c r="E18">
        <v>170.75999450683599</v>
      </c>
      <c r="F18">
        <v>172.33999633789099</v>
      </c>
      <c r="G18">
        <v>165.71000671386699</v>
      </c>
      <c r="H18">
        <v>171.07000732421901</v>
      </c>
      <c r="I18">
        <v>174.88000488281301</v>
      </c>
      <c r="J18">
        <v>173.86999511718801</v>
      </c>
      <c r="K18">
        <v>166.99000549316401</v>
      </c>
      <c r="L18">
        <v>179.44000244140599</v>
      </c>
      <c r="M18">
        <v>170.69999694824199</v>
      </c>
      <c r="N18">
        <v>166.47000122070301</v>
      </c>
      <c r="O18">
        <v>166.71000671386699</v>
      </c>
      <c r="P18">
        <v>169.63000488281301</v>
      </c>
      <c r="Q18">
        <v>171.69999694824199</v>
      </c>
      <c r="R18">
        <v>175.63000488281301</v>
      </c>
      <c r="S18">
        <v>170.36999511718801</v>
      </c>
      <c r="T18">
        <v>167.13999938964801</v>
      </c>
    </row>
    <row r="19" spans="1:20" x14ac:dyDescent="0.3">
      <c r="A19">
        <v>174.52000427246099</v>
      </c>
      <c r="B19">
        <v>167.02000427246099</v>
      </c>
      <c r="C19">
        <v>170.63000488281301</v>
      </c>
      <c r="D19">
        <v>165.21000671386699</v>
      </c>
      <c r="E19">
        <v>160.83999633789099</v>
      </c>
      <c r="F19">
        <v>169.85000610351599</v>
      </c>
      <c r="G19">
        <v>170.830001831055</v>
      </c>
      <c r="H19">
        <v>168.61999511718801</v>
      </c>
      <c r="I19">
        <v>174.28999328613301</v>
      </c>
      <c r="J19">
        <v>173.19000244140599</v>
      </c>
      <c r="K19">
        <v>160.91000366210901</v>
      </c>
      <c r="L19">
        <v>179.27000427246099</v>
      </c>
      <c r="M19">
        <v>168.36999511718801</v>
      </c>
      <c r="N19">
        <v>166.53999328613301</v>
      </c>
      <c r="O19">
        <v>174.36000061035199</v>
      </c>
      <c r="P19">
        <v>170.67999267578099</v>
      </c>
      <c r="Q19">
        <v>168.57000732421901</v>
      </c>
      <c r="R19">
        <v>171.38000488281301</v>
      </c>
      <c r="S19">
        <v>168.69000244140599</v>
      </c>
      <c r="T19">
        <v>172.33999633789099</v>
      </c>
    </row>
    <row r="20" spans="1:20" x14ac:dyDescent="0.3">
      <c r="A20">
        <v>172.13000488281301</v>
      </c>
      <c r="B20">
        <v>171.28999328613301</v>
      </c>
      <c r="C20">
        <v>172.330001831055</v>
      </c>
      <c r="D20">
        <v>165.69999694824199</v>
      </c>
      <c r="E20">
        <v>160.11000061035199</v>
      </c>
      <c r="F20">
        <v>174.52999877929699</v>
      </c>
      <c r="G20">
        <v>170.16000366210901</v>
      </c>
      <c r="H20">
        <v>178.46000671386699</v>
      </c>
      <c r="I20">
        <v>169.16000366210901</v>
      </c>
      <c r="J20">
        <v>166.19999694824199</v>
      </c>
      <c r="K20">
        <v>171.80000305175801</v>
      </c>
      <c r="L20">
        <v>170.419998168945</v>
      </c>
      <c r="M20">
        <v>164.77000427246099</v>
      </c>
      <c r="N20">
        <v>175.82000732421901</v>
      </c>
      <c r="O20">
        <v>170.75999450683599</v>
      </c>
      <c r="P20">
        <v>163.07000732421901</v>
      </c>
      <c r="Q20">
        <v>168.46000671386699</v>
      </c>
      <c r="R20">
        <v>176.86999511718801</v>
      </c>
      <c r="S20">
        <v>168.53999328613301</v>
      </c>
      <c r="T20">
        <v>177.91000366210901</v>
      </c>
    </row>
    <row r="21" spans="1:20" x14ac:dyDescent="0.3">
      <c r="A21">
        <v>167.69000244140599</v>
      </c>
      <c r="B21">
        <v>169.64999389648401</v>
      </c>
      <c r="C21">
        <v>164.30000305175801</v>
      </c>
      <c r="D21">
        <v>166.71000671386699</v>
      </c>
      <c r="E21">
        <v>166.22999572753901</v>
      </c>
      <c r="F21">
        <v>178.42999267578099</v>
      </c>
      <c r="G21">
        <v>161.16000366210901</v>
      </c>
      <c r="H21">
        <v>170.5</v>
      </c>
      <c r="I21">
        <v>176.77999877929699</v>
      </c>
      <c r="J21">
        <v>168.58999633789099</v>
      </c>
      <c r="K21">
        <v>168.77000427246099</v>
      </c>
      <c r="L21">
        <v>174.41000366210901</v>
      </c>
      <c r="M21">
        <v>172.830001831055</v>
      </c>
      <c r="N21">
        <v>165.63000488281301</v>
      </c>
      <c r="O21">
        <v>176.63999938964801</v>
      </c>
      <c r="P21">
        <v>171.94000244140599</v>
      </c>
      <c r="Q21">
        <v>171.88000488281301</v>
      </c>
      <c r="R21">
        <v>167.03999328613301</v>
      </c>
      <c r="S21">
        <v>170.25999450683599</v>
      </c>
      <c r="T21">
        <v>168.61000061035199</v>
      </c>
    </row>
    <row r="22" spans="1:20" x14ac:dyDescent="0.3">
      <c r="A22">
        <v>167.63000488281301</v>
      </c>
      <c r="B22">
        <v>168.44000244140599</v>
      </c>
      <c r="C22">
        <v>171.78999328613301</v>
      </c>
      <c r="D22">
        <v>167.41000366210901</v>
      </c>
      <c r="E22">
        <v>163.25999450683599</v>
      </c>
      <c r="F22">
        <v>169.52999877929699</v>
      </c>
      <c r="G22">
        <v>174.69999694824199</v>
      </c>
      <c r="H22">
        <v>173.47999572753901</v>
      </c>
      <c r="I22">
        <v>170.830001831055</v>
      </c>
      <c r="J22">
        <v>173.94999694824199</v>
      </c>
      <c r="K22">
        <v>168.30999755859401</v>
      </c>
      <c r="L22">
        <v>165.61999511718801</v>
      </c>
      <c r="M22">
        <v>171.83999633789099</v>
      </c>
      <c r="N22">
        <v>171.17999267578099</v>
      </c>
      <c r="O22">
        <v>166.10000610351599</v>
      </c>
      <c r="P22">
        <v>173.32000732421901</v>
      </c>
      <c r="Q22">
        <v>175.78999328613301</v>
      </c>
      <c r="R22">
        <v>166.72000122070301</v>
      </c>
      <c r="S22">
        <v>173.58999633789099</v>
      </c>
      <c r="T22">
        <v>174.08999633789099</v>
      </c>
    </row>
    <row r="23" spans="1:20" x14ac:dyDescent="0.3">
      <c r="A23">
        <v>168.52000427246099</v>
      </c>
      <c r="B23">
        <v>165.61000061035199</v>
      </c>
      <c r="C23">
        <v>165.19000244140599</v>
      </c>
      <c r="D23">
        <v>169.580001831055</v>
      </c>
      <c r="E23">
        <v>175.38000488281301</v>
      </c>
      <c r="F23">
        <v>169.42999267578099</v>
      </c>
      <c r="G23">
        <v>168.80000305175801</v>
      </c>
      <c r="H23">
        <v>164.83999633789099</v>
      </c>
      <c r="I23">
        <v>167.11999511718801</v>
      </c>
      <c r="J23">
        <v>167.5</v>
      </c>
      <c r="K23">
        <v>168.03999328613301</v>
      </c>
      <c r="L23">
        <v>165.08999633789099</v>
      </c>
      <c r="M23">
        <v>169.24000549316401</v>
      </c>
      <c r="N23">
        <v>173.32000732421901</v>
      </c>
      <c r="O23">
        <v>168.41000366210901</v>
      </c>
      <c r="P23">
        <v>175.86000061035199</v>
      </c>
      <c r="Q23">
        <v>175.24000549316401</v>
      </c>
      <c r="R23">
        <v>164.39999389648401</v>
      </c>
      <c r="S23">
        <v>171.41000366210901</v>
      </c>
      <c r="T23">
        <v>166.61999511718801</v>
      </c>
    </row>
    <row r="24" spans="1:20" x14ac:dyDescent="0.3">
      <c r="A24">
        <v>170.830001831055</v>
      </c>
      <c r="B24">
        <v>168.55000305175801</v>
      </c>
      <c r="C24">
        <v>169.75</v>
      </c>
      <c r="D24">
        <v>175.39999389648401</v>
      </c>
      <c r="E24">
        <v>164.69000244140599</v>
      </c>
      <c r="F24">
        <v>167.10000610351599</v>
      </c>
      <c r="G24">
        <v>162.33999633789099</v>
      </c>
      <c r="H24">
        <v>172.36000061035199</v>
      </c>
      <c r="I24">
        <v>173.38000488281301</v>
      </c>
      <c r="J24">
        <v>171.85000610351599</v>
      </c>
      <c r="K24">
        <v>176.49000549316401</v>
      </c>
      <c r="L24">
        <v>174.27000427246099</v>
      </c>
      <c r="M24">
        <v>166.38000488281301</v>
      </c>
      <c r="N24">
        <v>172.28999328613301</v>
      </c>
      <c r="O24">
        <v>169.72000122070301</v>
      </c>
      <c r="P24">
        <v>170.61000061035199</v>
      </c>
      <c r="Q24">
        <v>173.19000244140599</v>
      </c>
      <c r="R24">
        <v>161.919998168945</v>
      </c>
      <c r="S24">
        <v>171.5</v>
      </c>
      <c r="T24">
        <v>162.89999389648401</v>
      </c>
    </row>
    <row r="25" spans="1:20" x14ac:dyDescent="0.3">
      <c r="A25">
        <v>164.63999938964801</v>
      </c>
      <c r="B25">
        <v>163.75</v>
      </c>
      <c r="C25">
        <v>171.39999389648401</v>
      </c>
      <c r="D25">
        <v>165.17999267578099</v>
      </c>
      <c r="E25">
        <v>168.919998168945</v>
      </c>
      <c r="F25">
        <v>168.69999694824199</v>
      </c>
      <c r="G25">
        <v>168.86999511718801</v>
      </c>
      <c r="H25">
        <v>164</v>
      </c>
      <c r="I25">
        <v>170.94000244140599</v>
      </c>
      <c r="J25">
        <v>176.77000427246099</v>
      </c>
      <c r="K25">
        <v>162.830001831055</v>
      </c>
      <c r="L25">
        <v>164.69999694824199</v>
      </c>
      <c r="M25">
        <v>176.22000122070301</v>
      </c>
      <c r="N25">
        <v>169.47999572753901</v>
      </c>
      <c r="O25">
        <v>170.80000305175801</v>
      </c>
      <c r="P25">
        <v>168.77999877929699</v>
      </c>
      <c r="Q25">
        <v>166.25999450683599</v>
      </c>
      <c r="R25">
        <v>172.30999755859401</v>
      </c>
      <c r="S25">
        <v>170.27000427246099</v>
      </c>
      <c r="T25">
        <v>169.74000549316401</v>
      </c>
    </row>
    <row r="26" spans="1:20" x14ac:dyDescent="0.3">
      <c r="A26">
        <v>171.47000122070301</v>
      </c>
      <c r="B26">
        <v>166.63000488281301</v>
      </c>
      <c r="C26">
        <v>174.44999694824199</v>
      </c>
      <c r="D26">
        <v>171.13999938964801</v>
      </c>
      <c r="E26">
        <v>167.169998168945</v>
      </c>
      <c r="F26">
        <v>171.22999572753901</v>
      </c>
      <c r="G26">
        <v>174.30999755859401</v>
      </c>
      <c r="H26">
        <v>169.58999633789099</v>
      </c>
      <c r="I26">
        <v>168.55999755859401</v>
      </c>
      <c r="J26">
        <v>172.91000366210901</v>
      </c>
      <c r="K26">
        <v>170.61000061035199</v>
      </c>
      <c r="L26">
        <v>171.86000061035199</v>
      </c>
      <c r="M26">
        <v>177.13999938964801</v>
      </c>
      <c r="N26">
        <v>169.14999389648401</v>
      </c>
      <c r="O26">
        <v>168.85000610351599</v>
      </c>
      <c r="P26">
        <v>171.44999694824199</v>
      </c>
      <c r="Q26">
        <v>170.41000366210901</v>
      </c>
      <c r="R26">
        <v>173.44999694824199</v>
      </c>
      <c r="S26">
        <v>170.52999877929699</v>
      </c>
      <c r="T26">
        <v>169.85000610351599</v>
      </c>
    </row>
    <row r="27" spans="1:20" x14ac:dyDescent="0.3">
      <c r="A27">
        <v>169.919998168945</v>
      </c>
      <c r="B27">
        <v>171.19999694824199</v>
      </c>
      <c r="C27">
        <v>167.32000732421901</v>
      </c>
      <c r="D27">
        <v>163.13000488281301</v>
      </c>
      <c r="E27">
        <v>169.69999694824199</v>
      </c>
      <c r="F27">
        <v>164.36999511718801</v>
      </c>
      <c r="G27">
        <v>162.72999572753901</v>
      </c>
      <c r="H27">
        <v>170.61000061035199</v>
      </c>
      <c r="I27">
        <v>164.10000610351599</v>
      </c>
      <c r="J27">
        <v>173.53999328613301</v>
      </c>
      <c r="K27">
        <v>171.50999450683599</v>
      </c>
      <c r="L27">
        <v>168.85000610351599</v>
      </c>
      <c r="M27">
        <v>166.63999938964801</v>
      </c>
      <c r="N27">
        <v>160.22000122070301</v>
      </c>
      <c r="O27">
        <v>167.169998168945</v>
      </c>
      <c r="P27">
        <v>167.33999633789099</v>
      </c>
      <c r="Q27">
        <v>178.80000305175801</v>
      </c>
      <c r="R27">
        <v>165.89999389648401</v>
      </c>
      <c r="S27">
        <v>171.21000671386699</v>
      </c>
      <c r="T27">
        <v>171.580001831055</v>
      </c>
    </row>
    <row r="28" spans="1:20" x14ac:dyDescent="0.3">
      <c r="A28">
        <v>177.53999328613301</v>
      </c>
      <c r="B28">
        <v>171.91000366210901</v>
      </c>
      <c r="C28">
        <v>172.36999511718699</v>
      </c>
      <c r="D28">
        <v>174.38999938964801</v>
      </c>
      <c r="E28">
        <v>171.66000366210901</v>
      </c>
      <c r="F28">
        <v>168.16000366210901</v>
      </c>
      <c r="G28">
        <v>174.08999633789099</v>
      </c>
      <c r="H28">
        <v>169.919998168945</v>
      </c>
      <c r="I28">
        <v>170.36000061035199</v>
      </c>
      <c r="J28">
        <v>172.36000061035199</v>
      </c>
      <c r="K28">
        <v>167.13000488281301</v>
      </c>
      <c r="L28">
        <v>168.14999389648401</v>
      </c>
      <c r="M28">
        <v>175.11999511718801</v>
      </c>
      <c r="N28">
        <v>169.99000549316401</v>
      </c>
      <c r="O28">
        <v>164.99000549316401</v>
      </c>
      <c r="P28">
        <v>166.57000732421901</v>
      </c>
      <c r="Q28">
        <v>171.44000244140599</v>
      </c>
      <c r="R28">
        <v>166.57000732421901</v>
      </c>
      <c r="S28">
        <v>169.16000366210901</v>
      </c>
      <c r="T28">
        <v>182.67999267578099</v>
      </c>
    </row>
    <row r="29" spans="1:20" x14ac:dyDescent="0.3">
      <c r="A29">
        <v>164.47000122070301</v>
      </c>
      <c r="B29">
        <v>165.32000732421901</v>
      </c>
      <c r="C29">
        <v>167.55999755859401</v>
      </c>
      <c r="D29">
        <v>167.28999328613301</v>
      </c>
      <c r="E29">
        <v>166.85000610351599</v>
      </c>
      <c r="F29">
        <v>170.80000305175801</v>
      </c>
      <c r="G29">
        <v>170</v>
      </c>
      <c r="H29">
        <v>169.52999877929699</v>
      </c>
      <c r="I29">
        <v>168.72999572753901</v>
      </c>
      <c r="J29">
        <v>169.169998168945</v>
      </c>
      <c r="K29">
        <v>174.69999694824199</v>
      </c>
      <c r="L29">
        <v>175.39999389648401</v>
      </c>
      <c r="M29">
        <v>163.61000061035199</v>
      </c>
      <c r="N29">
        <v>169.91000366210901</v>
      </c>
      <c r="O29">
        <v>171.14999389648401</v>
      </c>
      <c r="P29">
        <v>170.38999938964801</v>
      </c>
      <c r="Q29">
        <v>165</v>
      </c>
      <c r="R29">
        <v>166.52999877929699</v>
      </c>
      <c r="S29">
        <v>168.85000610351599</v>
      </c>
      <c r="T29">
        <v>172.02000427246099</v>
      </c>
    </row>
    <row r="30" spans="1:20" x14ac:dyDescent="0.3">
      <c r="A30">
        <v>171.27999877929699</v>
      </c>
      <c r="B30">
        <v>171.88999938964801</v>
      </c>
      <c r="C30">
        <v>168.27000427246099</v>
      </c>
      <c r="D30">
        <v>171.13000488281301</v>
      </c>
      <c r="E30">
        <v>169.42999267578099</v>
      </c>
      <c r="F30">
        <v>178.38000488281301</v>
      </c>
      <c r="G30">
        <v>167.44999694824199</v>
      </c>
      <c r="H30">
        <v>168.33999633789099</v>
      </c>
      <c r="I30">
        <v>171.02000427246099</v>
      </c>
      <c r="J30">
        <v>179.69000244140599</v>
      </c>
      <c r="K30">
        <v>176.82000732421901</v>
      </c>
      <c r="L30">
        <v>171.11999511718801</v>
      </c>
      <c r="M30">
        <v>177.55000305175801</v>
      </c>
      <c r="N30">
        <v>169.30999755859401</v>
      </c>
      <c r="O30">
        <v>173.88000488281301</v>
      </c>
      <c r="P30">
        <v>172.96000671386699</v>
      </c>
      <c r="Q30">
        <v>174.52000427246099</v>
      </c>
      <c r="R30">
        <v>160.75999450683599</v>
      </c>
      <c r="S30">
        <v>164.13999938964801</v>
      </c>
      <c r="T30">
        <v>171.38000488281301</v>
      </c>
    </row>
    <row r="31" spans="1:20" x14ac:dyDescent="0.3">
      <c r="A31">
        <v>170.66000366210901</v>
      </c>
      <c r="B31">
        <v>169.72000122070301</v>
      </c>
      <c r="C31">
        <v>168.99000549316401</v>
      </c>
      <c r="D31">
        <v>171.78999328613301</v>
      </c>
      <c r="E31">
        <v>171.72999572753901</v>
      </c>
      <c r="F31">
        <v>164.61999511718801</v>
      </c>
      <c r="G31">
        <v>172.55999755859401</v>
      </c>
      <c r="H31">
        <v>167.88000488281301</v>
      </c>
      <c r="I31">
        <v>165.169998168945</v>
      </c>
      <c r="J31">
        <v>173.27000427246099</v>
      </c>
      <c r="K31">
        <v>171.25999450683599</v>
      </c>
      <c r="L31">
        <v>168.47000122070301</v>
      </c>
      <c r="M31">
        <v>176.5</v>
      </c>
      <c r="N31">
        <v>169.169998168945</v>
      </c>
      <c r="O31">
        <v>182.580001831055</v>
      </c>
      <c r="P31">
        <v>167.07000732421901</v>
      </c>
      <c r="Q31">
        <v>167.19999694824199</v>
      </c>
      <c r="R31">
        <v>169.830001831055</v>
      </c>
      <c r="S31">
        <v>168.03999328613301</v>
      </c>
      <c r="T31">
        <v>173.16000366210901</v>
      </c>
    </row>
    <row r="32" spans="1:20" x14ac:dyDescent="0.3">
      <c r="A32">
        <v>169.19000244140599</v>
      </c>
      <c r="B32">
        <v>172.30999755859401</v>
      </c>
      <c r="C32">
        <v>173.13000488281301</v>
      </c>
      <c r="D32">
        <v>169.60000610351599</v>
      </c>
      <c r="E32">
        <v>177.94999694824199</v>
      </c>
      <c r="F32">
        <v>168.63000488281301</v>
      </c>
      <c r="G32">
        <v>166.36000061035199</v>
      </c>
      <c r="H32">
        <v>162.08999633789099</v>
      </c>
      <c r="I32">
        <v>169.02999877929699</v>
      </c>
      <c r="J32">
        <v>174.64999389648401</v>
      </c>
      <c r="K32">
        <v>168.66000366210901</v>
      </c>
      <c r="L32">
        <v>171.00999450683599</v>
      </c>
      <c r="M32">
        <v>167.919998168945</v>
      </c>
      <c r="N32">
        <v>171.86000061035199</v>
      </c>
      <c r="O32">
        <v>165.52000427246099</v>
      </c>
      <c r="P32">
        <v>177.88000488281301</v>
      </c>
      <c r="Q32">
        <v>168.13999938964801</v>
      </c>
      <c r="R32">
        <v>169.75999450683599</v>
      </c>
      <c r="S32">
        <v>174.44999694824199</v>
      </c>
      <c r="T32">
        <v>160.19000244140599</v>
      </c>
    </row>
    <row r="33" spans="1:20" x14ac:dyDescent="0.3">
      <c r="A33">
        <v>173.10000610351599</v>
      </c>
      <c r="B33">
        <v>178.27999877929699</v>
      </c>
      <c r="C33">
        <v>166.72000122070301</v>
      </c>
      <c r="D33">
        <v>169</v>
      </c>
      <c r="E33">
        <v>169.96000671386699</v>
      </c>
      <c r="F33">
        <v>168.67999267578099</v>
      </c>
      <c r="G33">
        <v>174.50999450683599</v>
      </c>
      <c r="H33">
        <v>167.02000427246099</v>
      </c>
      <c r="I33">
        <v>164.05999755859401</v>
      </c>
      <c r="J33">
        <v>173.71000671386699</v>
      </c>
      <c r="K33">
        <v>166.30999755859401</v>
      </c>
      <c r="L33">
        <v>166.42999267578099</v>
      </c>
      <c r="M33">
        <v>168.92999267578099</v>
      </c>
      <c r="N33">
        <v>174.86999511718801</v>
      </c>
      <c r="O33">
        <v>171.61000061035199</v>
      </c>
      <c r="P33">
        <v>172.72000122070301</v>
      </c>
      <c r="Q33">
        <v>174.03999328613301</v>
      </c>
      <c r="R33">
        <v>177.66000366210901</v>
      </c>
      <c r="S33">
        <v>171.91000366210901</v>
      </c>
      <c r="T33">
        <v>163.38000488281301</v>
      </c>
    </row>
    <row r="34" spans="1:20" x14ac:dyDescent="0.3">
      <c r="A34">
        <v>170.00999450683599</v>
      </c>
      <c r="B34">
        <v>173.16000366210901</v>
      </c>
      <c r="C34">
        <v>168.19000244140599</v>
      </c>
      <c r="D34">
        <v>164.30999755859401</v>
      </c>
      <c r="E34">
        <v>176.97999572753901</v>
      </c>
      <c r="F34">
        <v>163.91000366210901</v>
      </c>
      <c r="G34">
        <v>169.07000732421901</v>
      </c>
      <c r="H34">
        <v>182.66000366210901</v>
      </c>
      <c r="I34">
        <v>161.13999938964801</v>
      </c>
      <c r="J34">
        <v>163.22999572753901</v>
      </c>
      <c r="K34">
        <v>169.88999938964801</v>
      </c>
      <c r="L34">
        <v>168.32000732421901</v>
      </c>
      <c r="M34">
        <v>167.99000549316401</v>
      </c>
      <c r="N34">
        <v>164.61000061035199</v>
      </c>
      <c r="O34">
        <v>164.14999389648401</v>
      </c>
      <c r="P34">
        <v>162.80000305175801</v>
      </c>
      <c r="Q34">
        <v>171.03999328613301</v>
      </c>
      <c r="R34">
        <v>165.57000732421901</v>
      </c>
      <c r="S34">
        <v>165.35000610351599</v>
      </c>
      <c r="T34">
        <v>159.60000610351599</v>
      </c>
    </row>
    <row r="35" spans="1:20" x14ac:dyDescent="0.3">
      <c r="A35">
        <v>170.669998168945</v>
      </c>
      <c r="B35">
        <v>175.11000061035199</v>
      </c>
      <c r="C35">
        <v>166.11000061035199</v>
      </c>
      <c r="D35">
        <v>165.52000427246099</v>
      </c>
      <c r="E35">
        <v>165.39999389648401</v>
      </c>
      <c r="F35">
        <v>176.11000061035199</v>
      </c>
      <c r="G35">
        <v>162.22000122070301</v>
      </c>
      <c r="H35">
        <v>162.580001831055</v>
      </c>
      <c r="I35">
        <v>174.27000427246099</v>
      </c>
      <c r="J35">
        <v>168.61000061035199</v>
      </c>
      <c r="K35">
        <v>167.21000671386699</v>
      </c>
      <c r="L35">
        <v>173.89999389648401</v>
      </c>
      <c r="M35">
        <v>162.75999450683599</v>
      </c>
      <c r="N35">
        <v>174.11999511718801</v>
      </c>
      <c r="O35">
        <v>170.580001831055</v>
      </c>
      <c r="P35">
        <v>172.97000122070301</v>
      </c>
      <c r="Q35">
        <v>172.38000488281301</v>
      </c>
      <c r="R35">
        <v>170.13999938964801</v>
      </c>
      <c r="S35">
        <v>173.830001831055</v>
      </c>
      <c r="T35">
        <v>169.30000305175801</v>
      </c>
    </row>
    <row r="36" spans="1:20" x14ac:dyDescent="0.3">
      <c r="A36">
        <v>166.72999572753901</v>
      </c>
      <c r="B36">
        <v>172.67999267578099</v>
      </c>
      <c r="C36">
        <v>168.94999694824199</v>
      </c>
      <c r="D36">
        <v>171.97999572753901</v>
      </c>
      <c r="E36">
        <v>168.5</v>
      </c>
      <c r="F36">
        <v>175.46000671386699</v>
      </c>
      <c r="G36">
        <v>176.07000732421901</v>
      </c>
      <c r="H36">
        <v>171.78999328613301</v>
      </c>
      <c r="I36">
        <v>166.33999633789099</v>
      </c>
      <c r="J36">
        <v>165.669998168945</v>
      </c>
      <c r="K36">
        <v>178</v>
      </c>
      <c r="L36">
        <v>173.78999328613301</v>
      </c>
      <c r="M36">
        <v>173.74000549316401</v>
      </c>
      <c r="N36">
        <v>172.830001831055</v>
      </c>
      <c r="O36">
        <v>172.25</v>
      </c>
      <c r="P36">
        <v>167.47999572753901</v>
      </c>
      <c r="Q36">
        <v>168.21000671386699</v>
      </c>
      <c r="R36">
        <v>174.419998168945</v>
      </c>
      <c r="S36">
        <v>172.32000732421901</v>
      </c>
      <c r="T36">
        <v>170.36000061035199</v>
      </c>
    </row>
    <row r="37" spans="1:20" x14ac:dyDescent="0.3">
      <c r="A37">
        <v>168.47999572753901</v>
      </c>
      <c r="B37">
        <v>174.580001831055</v>
      </c>
      <c r="C37">
        <v>162.80000305175801</v>
      </c>
      <c r="D37">
        <v>162.22000122070301</v>
      </c>
      <c r="E37">
        <v>172.17999267578099</v>
      </c>
      <c r="F37">
        <v>166.27000427246099</v>
      </c>
      <c r="G37">
        <v>172.32000732421901</v>
      </c>
      <c r="H37">
        <v>172.419998168945</v>
      </c>
      <c r="I37">
        <v>174.89999389648401</v>
      </c>
      <c r="J37">
        <v>162.33999633789099</v>
      </c>
      <c r="K37">
        <v>171.60000610351599</v>
      </c>
      <c r="L37">
        <v>169.74000549316401</v>
      </c>
      <c r="M37">
        <v>174.11000061035199</v>
      </c>
      <c r="N37">
        <v>168.28999328613301</v>
      </c>
      <c r="O37">
        <v>162.13000488281301</v>
      </c>
      <c r="P37">
        <v>171.69000244140599</v>
      </c>
      <c r="Q37">
        <v>167.330001831055</v>
      </c>
      <c r="R37">
        <v>177.61999511718801</v>
      </c>
      <c r="S37">
        <v>169.41000366210901</v>
      </c>
      <c r="T37">
        <v>167.77000427246099</v>
      </c>
    </row>
    <row r="38" spans="1:20" x14ac:dyDescent="0.3">
      <c r="A38">
        <v>166.58999633789099</v>
      </c>
      <c r="B38">
        <v>163.38000488281301</v>
      </c>
      <c r="C38">
        <v>169.14999389648401</v>
      </c>
      <c r="D38">
        <v>167.61999511718801</v>
      </c>
      <c r="E38">
        <v>168.75999450683599</v>
      </c>
      <c r="F38">
        <v>176.75999450683599</v>
      </c>
      <c r="G38">
        <v>170.10000610351599</v>
      </c>
      <c r="H38">
        <v>165.47999572753901</v>
      </c>
      <c r="I38">
        <v>169.86999511718801</v>
      </c>
      <c r="J38">
        <v>172.47000122070301</v>
      </c>
      <c r="K38">
        <v>168.74000549316401</v>
      </c>
      <c r="L38">
        <v>164.41000366210901</v>
      </c>
      <c r="M38">
        <v>171.419998168945</v>
      </c>
      <c r="N38">
        <v>167.99000549316401</v>
      </c>
      <c r="O38">
        <v>174.580001831055</v>
      </c>
      <c r="P38">
        <v>165.89999389648401</v>
      </c>
      <c r="Q38">
        <v>170.91000366210901</v>
      </c>
      <c r="R38">
        <v>172.82000732421901</v>
      </c>
      <c r="S38">
        <v>169.10000610351599</v>
      </c>
      <c r="T38">
        <v>171.44999694824199</v>
      </c>
    </row>
    <row r="39" spans="1:20" x14ac:dyDescent="0.3">
      <c r="A39">
        <v>169.88999938964801</v>
      </c>
      <c r="B39">
        <v>169.30000305175801</v>
      </c>
      <c r="C39">
        <v>162.63999938964801</v>
      </c>
      <c r="D39">
        <v>170.22999572753901</v>
      </c>
      <c r="E39">
        <v>170.669998168945</v>
      </c>
      <c r="F39">
        <v>172.77999877929699</v>
      </c>
      <c r="G39">
        <v>179.66000366210901</v>
      </c>
      <c r="H39">
        <v>168.64999389648401</v>
      </c>
      <c r="I39">
        <v>163.32000732421901</v>
      </c>
      <c r="J39">
        <v>181.52000427246099</v>
      </c>
      <c r="K39">
        <v>171.32000732421901</v>
      </c>
      <c r="L39">
        <v>175.07000732421901</v>
      </c>
      <c r="M39">
        <v>177.35000610351599</v>
      </c>
      <c r="N39">
        <v>165</v>
      </c>
      <c r="O39">
        <v>179.11000061035199</v>
      </c>
      <c r="P39">
        <v>171</v>
      </c>
      <c r="Q39">
        <v>174.27000427246099</v>
      </c>
      <c r="R39">
        <v>168.74000549316401</v>
      </c>
      <c r="S39">
        <v>172.52000427246099</v>
      </c>
      <c r="T39">
        <v>161.92999267578099</v>
      </c>
    </row>
    <row r="40" spans="1:20" x14ac:dyDescent="0.3">
      <c r="A40">
        <v>175.08999633789099</v>
      </c>
      <c r="B40">
        <v>167.97999572753901</v>
      </c>
      <c r="C40">
        <v>172.77999877929699</v>
      </c>
      <c r="D40">
        <v>172.47000122070301</v>
      </c>
      <c r="E40">
        <v>164.24000549316401</v>
      </c>
      <c r="F40">
        <v>171.57000732421901</v>
      </c>
      <c r="G40">
        <v>172.16000366210901</v>
      </c>
      <c r="H40">
        <v>169.97000122070301</v>
      </c>
      <c r="I40">
        <v>163.22000122070301</v>
      </c>
      <c r="J40">
        <v>172.36000061035199</v>
      </c>
      <c r="K40">
        <v>176.10000610351599</v>
      </c>
      <c r="L40">
        <v>171.419998168945</v>
      </c>
      <c r="M40">
        <v>165.50999450683599</v>
      </c>
      <c r="N40">
        <v>163.83999633789099</v>
      </c>
      <c r="O40">
        <v>174.11000061035199</v>
      </c>
      <c r="P40">
        <v>174.30000305175801</v>
      </c>
      <c r="Q40">
        <v>172.61000061035199</v>
      </c>
      <c r="R40">
        <v>171.5</v>
      </c>
      <c r="S40">
        <v>163.69000244140599</v>
      </c>
      <c r="T40">
        <v>164.13000488281301</v>
      </c>
    </row>
    <row r="41" spans="1:20" x14ac:dyDescent="0.3">
      <c r="A41">
        <v>164.52999877929699</v>
      </c>
      <c r="B41">
        <v>170.14999389648401</v>
      </c>
      <c r="C41">
        <v>165.75</v>
      </c>
      <c r="D41">
        <v>166.91000366210901</v>
      </c>
      <c r="E41">
        <v>175.47000122070301</v>
      </c>
      <c r="F41">
        <v>167.50999450683599</v>
      </c>
      <c r="G41">
        <v>169.36999511718801</v>
      </c>
      <c r="H41">
        <v>169.64999389648401</v>
      </c>
      <c r="I41">
        <v>175.16000366210901</v>
      </c>
      <c r="J41">
        <v>171</v>
      </c>
      <c r="K41">
        <v>168.5</v>
      </c>
      <c r="L41">
        <v>169.25999450683599</v>
      </c>
      <c r="M41">
        <v>169.10000610351599</v>
      </c>
      <c r="N41">
        <v>166.11999511718699</v>
      </c>
      <c r="O41">
        <v>160.63999938964801</v>
      </c>
      <c r="P41">
        <v>171.25</v>
      </c>
      <c r="Q41">
        <v>174.80000305175801</v>
      </c>
      <c r="R41">
        <v>170.36000061035199</v>
      </c>
      <c r="S41">
        <v>163.27999877929699</v>
      </c>
      <c r="T41">
        <v>173.13000488281301</v>
      </c>
    </row>
    <row r="42" spans="1:20" x14ac:dyDescent="0.3">
      <c r="A42">
        <v>171.96000671386699</v>
      </c>
      <c r="B42">
        <v>175.47999572753901</v>
      </c>
      <c r="C42">
        <v>170.08999633789099</v>
      </c>
      <c r="D42">
        <v>166.00999450683599</v>
      </c>
      <c r="E42">
        <v>167.69999694824199</v>
      </c>
      <c r="F42">
        <v>165.86999511718801</v>
      </c>
      <c r="G42">
        <v>165.49000549316401</v>
      </c>
      <c r="H42">
        <v>165.75</v>
      </c>
      <c r="I42">
        <v>168.13000488281301</v>
      </c>
      <c r="J42">
        <v>168.33999633789099</v>
      </c>
      <c r="K42">
        <v>168.330001831055</v>
      </c>
      <c r="L42">
        <v>172.30999755859401</v>
      </c>
      <c r="M42">
        <v>174.75999450683599</v>
      </c>
      <c r="N42">
        <v>164.36999511718801</v>
      </c>
      <c r="O42">
        <v>168.11000061035199</v>
      </c>
      <c r="P42">
        <v>163.19000244140599</v>
      </c>
      <c r="Q42">
        <v>169.07000732421901</v>
      </c>
      <c r="R42">
        <v>171.46000671386699</v>
      </c>
      <c r="S42">
        <v>166.330001831055</v>
      </c>
      <c r="T42">
        <v>171.88000488281301</v>
      </c>
    </row>
    <row r="43" spans="1:20" x14ac:dyDescent="0.3">
      <c r="A43">
        <v>172.25999450683599</v>
      </c>
      <c r="B43">
        <v>170.24000549316401</v>
      </c>
      <c r="C43">
        <v>170.5</v>
      </c>
      <c r="D43">
        <v>167.88000488281301</v>
      </c>
      <c r="E43">
        <v>167.44999694824199</v>
      </c>
      <c r="F43">
        <v>172.57000732421901</v>
      </c>
      <c r="G43">
        <v>164.82000732421901</v>
      </c>
      <c r="H43">
        <v>168.02000427246099</v>
      </c>
      <c r="I43">
        <v>164.27000427246099</v>
      </c>
      <c r="J43">
        <v>169.91000366210901</v>
      </c>
      <c r="K43">
        <v>171.50999450683599</v>
      </c>
      <c r="L43">
        <v>169.919998168945</v>
      </c>
      <c r="M43">
        <v>172.22000122070301</v>
      </c>
      <c r="N43">
        <v>171.75</v>
      </c>
      <c r="O43">
        <v>168.08999633789099</v>
      </c>
      <c r="P43">
        <v>167.080001831055</v>
      </c>
      <c r="Q43">
        <v>176.80000305175801</v>
      </c>
      <c r="R43">
        <v>167.58999633789099</v>
      </c>
      <c r="S43">
        <v>168.03999328613301</v>
      </c>
      <c r="T43">
        <v>168.99000549316401</v>
      </c>
    </row>
    <row r="44" spans="1:20" x14ac:dyDescent="0.3">
      <c r="A44">
        <v>171.21000671386699</v>
      </c>
      <c r="B44">
        <v>177.11999511718801</v>
      </c>
      <c r="C44">
        <v>165.55999755859401</v>
      </c>
      <c r="D44">
        <v>165.99000549316401</v>
      </c>
      <c r="E44">
        <v>170.11999511718801</v>
      </c>
      <c r="F44">
        <v>175.91000366210901</v>
      </c>
      <c r="G44">
        <v>175.57000732421901</v>
      </c>
      <c r="H44">
        <v>171.57000732421901</v>
      </c>
      <c r="I44">
        <v>164.61000061035199</v>
      </c>
      <c r="J44">
        <v>173.64999389648401</v>
      </c>
      <c r="K44">
        <v>175.89999389648401</v>
      </c>
      <c r="L44">
        <v>162.83999633789099</v>
      </c>
      <c r="M44">
        <v>172.14999389648401</v>
      </c>
      <c r="N44">
        <v>175.82000732421901</v>
      </c>
      <c r="O44">
        <v>172.05000305175801</v>
      </c>
      <c r="P44">
        <v>173.28999328613301</v>
      </c>
      <c r="Q44">
        <v>174.27000427246099</v>
      </c>
      <c r="R44">
        <v>171.94000244140599</v>
      </c>
      <c r="S44">
        <v>181.50999450683599</v>
      </c>
      <c r="T44">
        <v>172.44000244140599</v>
      </c>
    </row>
    <row r="45" spans="1:20" x14ac:dyDescent="0.3">
      <c r="A45">
        <v>171.21000671386699</v>
      </c>
      <c r="B45">
        <v>168.94000244140599</v>
      </c>
      <c r="C45">
        <v>177.50999450683599</v>
      </c>
      <c r="D45">
        <v>167</v>
      </c>
      <c r="E45">
        <v>173.74000549316401</v>
      </c>
      <c r="F45">
        <v>168.33999633789099</v>
      </c>
      <c r="G45">
        <v>171.61000061035199</v>
      </c>
      <c r="H45">
        <v>170.64999389648401</v>
      </c>
      <c r="I45">
        <v>170.78999328613301</v>
      </c>
      <c r="J45">
        <v>167.61999511718801</v>
      </c>
      <c r="K45">
        <v>170.97000122070301</v>
      </c>
      <c r="L45">
        <v>172.92999267578099</v>
      </c>
      <c r="M45">
        <v>167.83999633789099</v>
      </c>
      <c r="N45">
        <v>172.27000427246099</v>
      </c>
      <c r="O45">
        <v>173.080001831055</v>
      </c>
      <c r="P45">
        <v>175.33999633789099</v>
      </c>
      <c r="Q45">
        <v>174.38999938964801</v>
      </c>
      <c r="R45">
        <v>167.80999755859401</v>
      </c>
      <c r="S45">
        <v>175.44999694824199</v>
      </c>
      <c r="T45">
        <v>171.38000488281301</v>
      </c>
    </row>
    <row r="46" spans="1:20" x14ac:dyDescent="0.3">
      <c r="A46">
        <v>161.05999755859401</v>
      </c>
      <c r="B46">
        <v>174.39999389648401</v>
      </c>
      <c r="C46">
        <v>165.94000244140599</v>
      </c>
      <c r="D46">
        <v>168.41000366210901</v>
      </c>
      <c r="E46">
        <v>164.75</v>
      </c>
      <c r="F46">
        <v>164.17999267578099</v>
      </c>
      <c r="G46">
        <v>174.16000366210901</v>
      </c>
      <c r="H46">
        <v>172.41000366210901</v>
      </c>
      <c r="I46">
        <v>170.88000488281301</v>
      </c>
      <c r="J46">
        <v>175.77999877929699</v>
      </c>
      <c r="K46">
        <v>163.580001831055</v>
      </c>
      <c r="L46">
        <v>168.97999572753901</v>
      </c>
      <c r="M46">
        <v>176.94999694824199</v>
      </c>
      <c r="N46">
        <v>174.69000244140599</v>
      </c>
      <c r="O46">
        <v>167.67999267578099</v>
      </c>
      <c r="P46">
        <v>171.61000061035199</v>
      </c>
      <c r="Q46">
        <v>168.46000671386699</v>
      </c>
      <c r="R46">
        <v>174.419998168945</v>
      </c>
      <c r="S46">
        <v>171.97000122070301</v>
      </c>
      <c r="T46">
        <v>169.80999755859401</v>
      </c>
    </row>
    <row r="47" spans="1:20" x14ac:dyDescent="0.3">
      <c r="A47">
        <v>169.72000122070301</v>
      </c>
      <c r="B47">
        <v>163.86000061035199</v>
      </c>
      <c r="C47">
        <v>165.63999938964801</v>
      </c>
      <c r="D47">
        <v>172.38999938964801</v>
      </c>
      <c r="E47">
        <v>167.71000671386699</v>
      </c>
      <c r="F47">
        <v>173.419998168945</v>
      </c>
      <c r="G47">
        <v>165.61999511718801</v>
      </c>
      <c r="H47">
        <v>170.63999938964801</v>
      </c>
      <c r="I47">
        <v>169.07000732421901</v>
      </c>
      <c r="J47">
        <v>175.74000549316401</v>
      </c>
      <c r="K47">
        <v>163.72999572753901</v>
      </c>
      <c r="L47">
        <v>168.38999938964801</v>
      </c>
      <c r="M47">
        <v>171.30999755859401</v>
      </c>
      <c r="N47">
        <v>176.30000305175801</v>
      </c>
      <c r="O47">
        <v>165.47000122070301</v>
      </c>
      <c r="P47">
        <v>171.14999389648401</v>
      </c>
      <c r="Q47">
        <v>167.919998168945</v>
      </c>
      <c r="R47">
        <v>164.63000488281301</v>
      </c>
      <c r="S47">
        <v>172.33999633789099</v>
      </c>
      <c r="T47">
        <v>168.41000366210901</v>
      </c>
    </row>
    <row r="48" spans="1:20" x14ac:dyDescent="0.3">
      <c r="A48">
        <v>176.02000427246099</v>
      </c>
      <c r="B48">
        <v>179.05999755859401</v>
      </c>
      <c r="C48">
        <v>164.22999572753901</v>
      </c>
      <c r="D48">
        <v>175.5</v>
      </c>
      <c r="E48">
        <v>167.07000732421901</v>
      </c>
      <c r="F48">
        <v>171.419998168945</v>
      </c>
      <c r="G48">
        <v>171.25</v>
      </c>
      <c r="H48">
        <v>175.52000427246099</v>
      </c>
      <c r="I48">
        <v>163.44000244140599</v>
      </c>
      <c r="J48">
        <v>172.47999572753901</v>
      </c>
      <c r="K48">
        <v>162.33999633789099</v>
      </c>
      <c r="L48">
        <v>166.97999572753901</v>
      </c>
      <c r="M48">
        <v>170.61999511718801</v>
      </c>
      <c r="N48">
        <v>179.72000122070301</v>
      </c>
      <c r="O48">
        <v>170.99000549316401</v>
      </c>
      <c r="P48">
        <v>171.38999938964801</v>
      </c>
      <c r="Q48">
        <v>166.11999511718699</v>
      </c>
      <c r="R48">
        <v>166.66000366210901</v>
      </c>
      <c r="S48">
        <v>174.71000671386699</v>
      </c>
      <c r="T48">
        <v>170.22999572753901</v>
      </c>
    </row>
    <row r="49" spans="1:20" x14ac:dyDescent="0.3">
      <c r="A49">
        <v>166.42999267578099</v>
      </c>
      <c r="B49">
        <v>170.86999511718801</v>
      </c>
      <c r="C49">
        <v>168.00999450683599</v>
      </c>
      <c r="D49">
        <v>170.419998168945</v>
      </c>
      <c r="E49">
        <v>168.94999694824199</v>
      </c>
      <c r="F49">
        <v>172.69000244140599</v>
      </c>
      <c r="G49">
        <v>168.96000671386699</v>
      </c>
      <c r="H49">
        <v>171.36000061035199</v>
      </c>
      <c r="I49">
        <v>163.72000122070301</v>
      </c>
      <c r="J49">
        <v>168.13000488281301</v>
      </c>
      <c r="K49">
        <v>168.919998168945</v>
      </c>
      <c r="L49">
        <v>180.69000244140599</v>
      </c>
      <c r="M49">
        <v>164.25</v>
      </c>
      <c r="N49">
        <v>174.71000671386699</v>
      </c>
      <c r="O49">
        <v>177.38999938964801</v>
      </c>
      <c r="P49">
        <v>167.88999938964801</v>
      </c>
      <c r="Q49">
        <v>164.02999877929699</v>
      </c>
      <c r="R49">
        <v>173.91000366210901</v>
      </c>
      <c r="S49">
        <v>167.86000061035199</v>
      </c>
      <c r="T49">
        <v>178.47000122070301</v>
      </c>
    </row>
    <row r="50" spans="1:20" x14ac:dyDescent="0.3">
      <c r="A50">
        <v>168.830001831055</v>
      </c>
      <c r="B50">
        <v>173.080001831055</v>
      </c>
      <c r="C50">
        <v>171.64999389648401</v>
      </c>
      <c r="D50">
        <v>167.75</v>
      </c>
      <c r="E50">
        <v>166.83999633789099</v>
      </c>
      <c r="F50">
        <v>176.61999511718801</v>
      </c>
      <c r="G50">
        <v>179.07000732421901</v>
      </c>
      <c r="H50">
        <v>170.38999938964801</v>
      </c>
      <c r="I50">
        <v>169.03999328613301</v>
      </c>
      <c r="J50">
        <v>171.72999572753901</v>
      </c>
      <c r="K50">
        <v>165.42999267578099</v>
      </c>
      <c r="L50">
        <v>175.33999633789099</v>
      </c>
      <c r="M50">
        <v>164.92999267578099</v>
      </c>
      <c r="N50">
        <v>171.89999389648401</v>
      </c>
      <c r="O50">
        <v>176.22999572753901</v>
      </c>
      <c r="P50">
        <v>168.11000061035199</v>
      </c>
      <c r="Q50">
        <v>176.00999450683599</v>
      </c>
      <c r="R50">
        <v>170.63999938964801</v>
      </c>
      <c r="S50">
        <v>172.97000122070301</v>
      </c>
      <c r="T50">
        <v>166.19999694824199</v>
      </c>
    </row>
    <row r="51" spans="1:20" x14ac:dyDescent="0.3">
      <c r="A51">
        <v>174.21000671386699</v>
      </c>
      <c r="B51">
        <v>172.10000610351599</v>
      </c>
      <c r="C51">
        <v>175.97999572753901</v>
      </c>
      <c r="D51">
        <v>169.71000671386699</v>
      </c>
      <c r="E51">
        <v>175.35000610351599</v>
      </c>
      <c r="F51">
        <v>169.25999450683599</v>
      </c>
      <c r="G51">
        <v>170.00999450683599</v>
      </c>
      <c r="H51">
        <v>174.44000244140599</v>
      </c>
      <c r="I51">
        <v>169.63000488281301</v>
      </c>
      <c r="J51">
        <v>168.92999267578099</v>
      </c>
      <c r="K51">
        <v>159.91000366210901</v>
      </c>
      <c r="L51">
        <v>164.419998168945</v>
      </c>
      <c r="M51">
        <v>178.53999328613301</v>
      </c>
      <c r="N51">
        <v>164.60000610351599</v>
      </c>
      <c r="O51">
        <v>167.19999694824199</v>
      </c>
      <c r="P51">
        <v>169.16000366210901</v>
      </c>
      <c r="Q51">
        <v>167.57000732421901</v>
      </c>
      <c r="R51">
        <v>169.77999877929699</v>
      </c>
      <c r="S51">
        <v>173.36000061035199</v>
      </c>
      <c r="T51">
        <v>170.14999389648401</v>
      </c>
    </row>
    <row r="52" spans="1:20" x14ac:dyDescent="0.3">
      <c r="A52">
        <v>170.47000122070301</v>
      </c>
      <c r="B52">
        <v>172.72000122070301</v>
      </c>
      <c r="C52">
        <v>169.71000671386699</v>
      </c>
      <c r="D52">
        <v>163.91000366210901</v>
      </c>
      <c r="E52">
        <v>176.02999877929699</v>
      </c>
      <c r="F52">
        <v>169.02999877929699</v>
      </c>
      <c r="G52">
        <v>168.11999511718801</v>
      </c>
      <c r="H52">
        <v>168.75999450683599</v>
      </c>
      <c r="I52">
        <v>168.66000366210901</v>
      </c>
      <c r="J52">
        <v>163.77999877929699</v>
      </c>
      <c r="K52">
        <v>172.33999633789099</v>
      </c>
      <c r="L52">
        <v>170.78999328613301</v>
      </c>
      <c r="M52">
        <v>173.85000610351599</v>
      </c>
      <c r="N52">
        <v>170.47999572753901</v>
      </c>
      <c r="O52">
        <v>175.88000488281301</v>
      </c>
      <c r="P52">
        <v>163.52000427246099</v>
      </c>
      <c r="Q52">
        <v>165.11000061035199</v>
      </c>
      <c r="R52">
        <v>174.61000061035199</v>
      </c>
      <c r="S52">
        <v>172.24000549316401</v>
      </c>
      <c r="T52">
        <v>172.44000244140599</v>
      </c>
    </row>
    <row r="53" spans="1:20" x14ac:dyDescent="0.3">
      <c r="A53">
        <v>168.16000366210901</v>
      </c>
      <c r="B53">
        <v>167.88999938964801</v>
      </c>
      <c r="C53">
        <v>175.19000244140599</v>
      </c>
      <c r="D53">
        <v>161.11999511718801</v>
      </c>
      <c r="E53">
        <v>175.02999877929699</v>
      </c>
      <c r="F53">
        <v>168.5</v>
      </c>
      <c r="G53">
        <v>167.36999511718801</v>
      </c>
      <c r="H53">
        <v>175.72999572753901</v>
      </c>
      <c r="I53">
        <v>167.89999389648401</v>
      </c>
      <c r="J53">
        <v>168.49000549316401</v>
      </c>
      <c r="K53">
        <v>168.30999755859401</v>
      </c>
      <c r="L53">
        <v>172.47000122070301</v>
      </c>
      <c r="M53">
        <v>168.27999877929699</v>
      </c>
      <c r="N53">
        <v>169.35000610351599</v>
      </c>
      <c r="O53">
        <v>163.50999450683599</v>
      </c>
      <c r="P53">
        <v>164.830001831055</v>
      </c>
      <c r="Q53">
        <v>169.669998168945</v>
      </c>
      <c r="R53">
        <v>164.60000610351599</v>
      </c>
      <c r="S53">
        <v>170.44999694824199</v>
      </c>
      <c r="T53">
        <v>170.330001831055</v>
      </c>
    </row>
    <row r="54" spans="1:20" x14ac:dyDescent="0.3">
      <c r="A54">
        <v>174.19000244140599</v>
      </c>
      <c r="B54">
        <v>168.46000671386699</v>
      </c>
      <c r="C54">
        <v>174.14999389648401</v>
      </c>
      <c r="D54">
        <v>172.97999572753901</v>
      </c>
      <c r="E54">
        <v>168.89999389648401</v>
      </c>
      <c r="F54">
        <v>172.13000488281301</v>
      </c>
      <c r="G54">
        <v>175.13999938964801</v>
      </c>
      <c r="H54">
        <v>164.61999511718801</v>
      </c>
      <c r="I54">
        <v>169.55000305175801</v>
      </c>
      <c r="J54">
        <v>173.13000488281301</v>
      </c>
      <c r="K54">
        <v>176.82000732421901</v>
      </c>
      <c r="L54">
        <v>172.33999633789099</v>
      </c>
      <c r="M54">
        <v>169.63999938964801</v>
      </c>
      <c r="N54">
        <v>164.94000244140599</v>
      </c>
      <c r="O54">
        <v>172.69000244140599</v>
      </c>
      <c r="P54">
        <v>173.61000061035199</v>
      </c>
      <c r="Q54">
        <v>166.669998168945</v>
      </c>
      <c r="R54">
        <v>161.05999755859401</v>
      </c>
      <c r="S54">
        <v>176.25</v>
      </c>
      <c r="T54">
        <v>169.96000671386699</v>
      </c>
    </row>
    <row r="55" spans="1:20" x14ac:dyDescent="0.3">
      <c r="A55">
        <v>169.64999389648401</v>
      </c>
      <c r="B55">
        <v>168.88999938964801</v>
      </c>
      <c r="C55">
        <v>165.47999572753901</v>
      </c>
      <c r="D55">
        <v>161.77000427246099</v>
      </c>
      <c r="E55">
        <v>174.33999633789099</v>
      </c>
      <c r="F55">
        <v>162.02999877929699</v>
      </c>
      <c r="G55">
        <v>165.919998168945</v>
      </c>
      <c r="H55">
        <v>157.35000610351599</v>
      </c>
      <c r="I55">
        <v>161.91000366210901</v>
      </c>
      <c r="J55">
        <v>171.42999267578099</v>
      </c>
      <c r="K55">
        <v>175.99000549316401</v>
      </c>
      <c r="L55">
        <v>171.94000244140599</v>
      </c>
      <c r="M55">
        <v>169.86000061035199</v>
      </c>
      <c r="N55">
        <v>174.580001831055</v>
      </c>
      <c r="O55">
        <v>169.19000244140599</v>
      </c>
      <c r="P55">
        <v>167.02999877929699</v>
      </c>
      <c r="Q55">
        <v>163.67999267578099</v>
      </c>
      <c r="R55">
        <v>172.97999572753901</v>
      </c>
      <c r="S55">
        <v>167.02000427246099</v>
      </c>
      <c r="T55">
        <v>168.11999511718801</v>
      </c>
    </row>
    <row r="56" spans="1:20" x14ac:dyDescent="0.3">
      <c r="A56">
        <v>167.49000549316401</v>
      </c>
      <c r="B56">
        <v>173.05000305175801</v>
      </c>
      <c r="C56">
        <v>174.96000671386699</v>
      </c>
      <c r="D56">
        <v>166.17999267578099</v>
      </c>
      <c r="E56">
        <v>169.94000244140599</v>
      </c>
      <c r="F56">
        <v>171.67999267578099</v>
      </c>
      <c r="G56">
        <v>171.11999511718801</v>
      </c>
      <c r="H56">
        <v>170.22000122070301</v>
      </c>
      <c r="I56">
        <v>165.19999694824199</v>
      </c>
      <c r="J56">
        <v>174.5</v>
      </c>
      <c r="K56">
        <v>170.85000610351599</v>
      </c>
      <c r="L56">
        <v>169.21000671386699</v>
      </c>
      <c r="M56">
        <v>174.77999877929699</v>
      </c>
      <c r="N56">
        <v>171.02000427246099</v>
      </c>
      <c r="O56">
        <v>171.64999389648401</v>
      </c>
      <c r="P56">
        <v>164.63000488281301</v>
      </c>
      <c r="Q56">
        <v>168.169998168945</v>
      </c>
      <c r="R56">
        <v>166.72999572753901</v>
      </c>
      <c r="S56">
        <v>171.02000427246099</v>
      </c>
      <c r="T56">
        <v>174</v>
      </c>
    </row>
    <row r="57" spans="1:20" x14ac:dyDescent="0.3">
      <c r="A57">
        <v>166.30999755859401</v>
      </c>
      <c r="B57">
        <v>167.94000244140599</v>
      </c>
      <c r="C57">
        <v>172.97999572753901</v>
      </c>
      <c r="D57">
        <v>167.02999877929699</v>
      </c>
      <c r="E57">
        <v>173.91000366210901</v>
      </c>
      <c r="F57">
        <v>167.71000671386699</v>
      </c>
      <c r="G57">
        <v>172.77000427246099</v>
      </c>
      <c r="H57">
        <v>171.67999267578099</v>
      </c>
      <c r="I57">
        <v>169.25999450683599</v>
      </c>
      <c r="J57">
        <v>172.61999511718801</v>
      </c>
      <c r="K57">
        <v>167.07000732421901</v>
      </c>
      <c r="L57">
        <v>168.21000671386699</v>
      </c>
      <c r="M57">
        <v>165.86999511718801</v>
      </c>
      <c r="N57">
        <v>176.14999389648401</v>
      </c>
      <c r="O57">
        <v>169.36999511718801</v>
      </c>
      <c r="P57">
        <v>174.11999511718801</v>
      </c>
      <c r="Q57">
        <v>165.22999572753901</v>
      </c>
      <c r="R57">
        <v>163.80999755859401</v>
      </c>
      <c r="S57">
        <v>169.169998168945</v>
      </c>
      <c r="T57">
        <v>166.89999389648401</v>
      </c>
    </row>
    <row r="58" spans="1:20" x14ac:dyDescent="0.3">
      <c r="A58">
        <v>176.10000610351599</v>
      </c>
      <c r="B58">
        <v>169.47000122070301</v>
      </c>
      <c r="C58">
        <v>172.36999511718699</v>
      </c>
      <c r="D58">
        <v>173.02000427246099</v>
      </c>
      <c r="E58">
        <v>173.88000488281301</v>
      </c>
      <c r="F58">
        <v>175.66000366210901</v>
      </c>
      <c r="G58">
        <v>165.30999755859401</v>
      </c>
      <c r="H58">
        <v>164.05000305175801</v>
      </c>
      <c r="I58">
        <v>167.35000610351599</v>
      </c>
      <c r="J58">
        <v>168.91000366210901</v>
      </c>
      <c r="K58">
        <v>172.69000244140599</v>
      </c>
      <c r="L58">
        <v>172.89999389648401</v>
      </c>
      <c r="M58">
        <v>174.00999450683599</v>
      </c>
      <c r="N58">
        <v>166.72999572753901</v>
      </c>
      <c r="O58">
        <v>172.00999450683599</v>
      </c>
      <c r="P58">
        <v>169.07000732421901</v>
      </c>
      <c r="Q58">
        <v>171.36000061035199</v>
      </c>
      <c r="R58">
        <v>170.61000061035199</v>
      </c>
      <c r="S58">
        <v>168.77000427246099</v>
      </c>
      <c r="T58">
        <v>174.05000305175801</v>
      </c>
    </row>
    <row r="59" spans="1:20" x14ac:dyDescent="0.3">
      <c r="A59">
        <v>168</v>
      </c>
      <c r="B59">
        <v>168.169998168945</v>
      </c>
      <c r="C59">
        <v>170.05999755859401</v>
      </c>
      <c r="D59">
        <v>182.50999450683599</v>
      </c>
      <c r="E59">
        <v>164.60000610351599</v>
      </c>
      <c r="F59">
        <v>165.669998168945</v>
      </c>
      <c r="G59">
        <v>169.30000305175801</v>
      </c>
      <c r="H59">
        <v>169.32000732421901</v>
      </c>
      <c r="I59">
        <v>173.83999633789099</v>
      </c>
      <c r="J59">
        <v>169.169998168945</v>
      </c>
      <c r="K59">
        <v>171.91000366210901</v>
      </c>
      <c r="L59">
        <v>176.88999938964801</v>
      </c>
      <c r="M59">
        <v>177.19999694824199</v>
      </c>
      <c r="N59">
        <v>172.169998168945</v>
      </c>
      <c r="O59">
        <v>163.39999389648401</v>
      </c>
      <c r="P59">
        <v>170.71000671386699</v>
      </c>
      <c r="Q59">
        <v>176.19000244140599</v>
      </c>
      <c r="R59">
        <v>168.17999267578099</v>
      </c>
      <c r="S59">
        <v>169.27000427246099</v>
      </c>
      <c r="T59">
        <v>172.27999877929699</v>
      </c>
    </row>
    <row r="60" spans="1:20" x14ac:dyDescent="0.3">
      <c r="A60">
        <v>164.02000427246099</v>
      </c>
      <c r="B60">
        <v>170.97000122070301</v>
      </c>
      <c r="C60">
        <v>164.89999389648401</v>
      </c>
      <c r="D60">
        <v>169.24000549316401</v>
      </c>
      <c r="E60">
        <v>161.72000122070301</v>
      </c>
      <c r="F60">
        <v>174.30999755859401</v>
      </c>
      <c r="G60">
        <v>169.19999694824199</v>
      </c>
      <c r="H60">
        <v>174.86000061035199</v>
      </c>
      <c r="I60">
        <v>174</v>
      </c>
      <c r="J60">
        <v>171.580001831055</v>
      </c>
      <c r="K60">
        <v>170.80999755859401</v>
      </c>
      <c r="L60">
        <v>165.16000366210901</v>
      </c>
      <c r="M60">
        <v>170.330001831055</v>
      </c>
      <c r="N60">
        <v>172.28999328613301</v>
      </c>
      <c r="O60">
        <v>175.25</v>
      </c>
      <c r="P60">
        <v>173.66000366210901</v>
      </c>
      <c r="Q60">
        <v>172.24000549316401</v>
      </c>
      <c r="R60">
        <v>173.94999694824199</v>
      </c>
      <c r="S60">
        <v>176</v>
      </c>
      <c r="T60">
        <v>169.85000610351599</v>
      </c>
    </row>
    <row r="61" spans="1:20" x14ac:dyDescent="0.3">
      <c r="A61">
        <v>170.830001831055</v>
      </c>
      <c r="B61">
        <v>174.94999694824199</v>
      </c>
      <c r="C61">
        <v>167.33999633789099</v>
      </c>
      <c r="D61">
        <v>168.08999633789099</v>
      </c>
      <c r="E61">
        <v>167.52999877929699</v>
      </c>
      <c r="F61">
        <v>178.25999450683599</v>
      </c>
      <c r="G61">
        <v>175.11000061035199</v>
      </c>
      <c r="H61">
        <v>171.16000366210901</v>
      </c>
      <c r="I61">
        <v>169.74000549316401</v>
      </c>
      <c r="J61">
        <v>176.46000671386699</v>
      </c>
      <c r="K61">
        <v>175.13000488281301</v>
      </c>
      <c r="L61">
        <v>175.85000610351599</v>
      </c>
      <c r="M61">
        <v>166.94999694824199</v>
      </c>
      <c r="N61">
        <v>171.02999877929699</v>
      </c>
      <c r="O61">
        <v>164.91000366210901</v>
      </c>
      <c r="P61">
        <v>171.669998168945</v>
      </c>
      <c r="Q61">
        <v>168.669998168945</v>
      </c>
      <c r="R61">
        <v>175.47999572753901</v>
      </c>
      <c r="S61">
        <v>173.92999267578099</v>
      </c>
      <c r="T61">
        <v>176.13000488281301</v>
      </c>
    </row>
    <row r="62" spans="1:20" x14ac:dyDescent="0.3">
      <c r="A62">
        <v>169.49000549316401</v>
      </c>
      <c r="B62">
        <v>173.05000305175801</v>
      </c>
      <c r="C62">
        <v>161.25999450683599</v>
      </c>
      <c r="D62">
        <v>164.830001831055</v>
      </c>
      <c r="E62">
        <v>176.71000671386699</v>
      </c>
      <c r="F62">
        <v>176.11999511718801</v>
      </c>
      <c r="G62">
        <v>168.52000427246099</v>
      </c>
      <c r="H62">
        <v>177.61999511718801</v>
      </c>
      <c r="I62">
        <v>165.38000488281301</v>
      </c>
      <c r="J62">
        <v>168.00999450683599</v>
      </c>
      <c r="K62">
        <v>171.97000122070301</v>
      </c>
      <c r="L62">
        <v>177.97999572753901</v>
      </c>
      <c r="M62">
        <v>164.99000549316401</v>
      </c>
      <c r="N62">
        <v>170.21000671386699</v>
      </c>
      <c r="O62">
        <v>169.11000061035199</v>
      </c>
      <c r="P62">
        <v>179.39999389648401</v>
      </c>
      <c r="Q62">
        <v>177.03999328613301</v>
      </c>
      <c r="R62">
        <v>168.22999572753901</v>
      </c>
      <c r="S62">
        <v>165.44999694824199</v>
      </c>
      <c r="T62">
        <v>175.38999938964801</v>
      </c>
    </row>
    <row r="63" spans="1:20" x14ac:dyDescent="0.3">
      <c r="A63">
        <v>165.17999267578099</v>
      </c>
      <c r="B63">
        <v>167.88999938964801</v>
      </c>
      <c r="C63">
        <v>173.669998168945</v>
      </c>
      <c r="D63">
        <v>173.86999511718801</v>
      </c>
      <c r="E63">
        <v>170.080001831055</v>
      </c>
      <c r="F63">
        <v>170.11000061035199</v>
      </c>
      <c r="G63">
        <v>168.07000732421901</v>
      </c>
      <c r="H63">
        <v>172.28999328613301</v>
      </c>
      <c r="I63">
        <v>177.35000610351599</v>
      </c>
      <c r="J63">
        <v>172.08999633789099</v>
      </c>
      <c r="K63">
        <v>171.60000610351599</v>
      </c>
      <c r="L63">
        <v>165.21000671386699</v>
      </c>
      <c r="M63">
        <v>168.5</v>
      </c>
      <c r="N63">
        <v>171.32000732421901</v>
      </c>
      <c r="O63">
        <v>169.75</v>
      </c>
      <c r="P63">
        <v>162.13000488281301</v>
      </c>
      <c r="Q63">
        <v>173.03999328613301</v>
      </c>
      <c r="R63">
        <v>169.30999755859401</v>
      </c>
      <c r="S63">
        <v>176.03999328613301</v>
      </c>
      <c r="T63">
        <v>172.55999755859401</v>
      </c>
    </row>
    <row r="64" spans="1:20" x14ac:dyDescent="0.3">
      <c r="A64">
        <v>164.99000549316401</v>
      </c>
      <c r="B64">
        <v>169.44000244140599</v>
      </c>
      <c r="C64">
        <v>168.47000122070301</v>
      </c>
      <c r="D64">
        <v>172.02999877929699</v>
      </c>
      <c r="E64">
        <v>168.330001831055</v>
      </c>
      <c r="F64">
        <v>163.85000610351599</v>
      </c>
      <c r="G64">
        <v>171.27999877929699</v>
      </c>
      <c r="H64">
        <v>169.58999633789099</v>
      </c>
      <c r="I64">
        <v>167.99000549316401</v>
      </c>
      <c r="J64">
        <v>165.94000244140599</v>
      </c>
      <c r="K64">
        <v>161.16000366210901</v>
      </c>
      <c r="L64">
        <v>169.58999633789099</v>
      </c>
      <c r="M64">
        <v>177.46000671386699</v>
      </c>
      <c r="N64">
        <v>169.22999572753901</v>
      </c>
      <c r="O64">
        <v>163.60000610351599</v>
      </c>
      <c r="P64">
        <v>173.53999328613301</v>
      </c>
      <c r="Q64">
        <v>166.25</v>
      </c>
      <c r="R64">
        <v>175.21000671386699</v>
      </c>
      <c r="S64">
        <v>164.11000061035199</v>
      </c>
      <c r="T64">
        <v>170.919998168945</v>
      </c>
    </row>
    <row r="65" spans="1:20" x14ac:dyDescent="0.3">
      <c r="A65">
        <v>167.66000366210901</v>
      </c>
      <c r="B65">
        <v>176.86000061035199</v>
      </c>
      <c r="C65">
        <v>172.19000244140599</v>
      </c>
      <c r="D65">
        <v>168.24000549316401</v>
      </c>
      <c r="E65">
        <v>169.83999633789099</v>
      </c>
      <c r="F65">
        <v>172.08999633789099</v>
      </c>
      <c r="G65">
        <v>172.30999755859401</v>
      </c>
      <c r="H65">
        <v>166.08999633789099</v>
      </c>
      <c r="I65">
        <v>167.27999877929699</v>
      </c>
      <c r="J65">
        <v>171.94000244140599</v>
      </c>
      <c r="K65">
        <v>170.42999267578099</v>
      </c>
      <c r="L65">
        <v>171.330001831055</v>
      </c>
      <c r="M65">
        <v>173.47000122070301</v>
      </c>
      <c r="N65">
        <v>165.92999267578099</v>
      </c>
      <c r="O65">
        <v>168.05999755859401</v>
      </c>
      <c r="P65">
        <v>165.44000244140599</v>
      </c>
      <c r="Q65">
        <v>177.91000366210901</v>
      </c>
      <c r="R65">
        <v>175.55000305175801</v>
      </c>
      <c r="S65">
        <v>166.69999694824199</v>
      </c>
      <c r="T65">
        <v>173.94000244140599</v>
      </c>
    </row>
    <row r="66" spans="1:20" x14ac:dyDescent="0.3">
      <c r="A66">
        <v>173.28999328613301</v>
      </c>
      <c r="B66">
        <v>164.13999938964801</v>
      </c>
      <c r="C66">
        <v>167.75</v>
      </c>
      <c r="D66">
        <v>173.330001831055</v>
      </c>
      <c r="E66">
        <v>164.330001831055</v>
      </c>
      <c r="F66">
        <v>174.47000122070301</v>
      </c>
      <c r="G66">
        <v>171.71000671386699</v>
      </c>
      <c r="H66">
        <v>170.25999450683599</v>
      </c>
      <c r="I66">
        <v>170.57000732421901</v>
      </c>
      <c r="J66">
        <v>167.36999511718801</v>
      </c>
      <c r="K66">
        <v>165.61000061035199</v>
      </c>
      <c r="L66">
        <v>168.5</v>
      </c>
      <c r="M66">
        <v>169.5</v>
      </c>
      <c r="N66">
        <v>176.330001831055</v>
      </c>
      <c r="O66">
        <v>170.94999694824199</v>
      </c>
      <c r="P66">
        <v>169.55999755859401</v>
      </c>
      <c r="Q66">
        <v>170.63000488281301</v>
      </c>
      <c r="R66">
        <v>162.86000061035199</v>
      </c>
      <c r="S66">
        <v>173.22999572753901</v>
      </c>
      <c r="T66">
        <v>166.92999267578099</v>
      </c>
    </row>
    <row r="67" spans="1:20" x14ac:dyDescent="0.3">
      <c r="A67">
        <v>177.13999938964801</v>
      </c>
      <c r="B67">
        <v>165.97000122070301</v>
      </c>
      <c r="C67">
        <v>168.24000549316401</v>
      </c>
      <c r="D67">
        <v>169.78999328613301</v>
      </c>
      <c r="E67">
        <v>170.69999694824199</v>
      </c>
      <c r="F67">
        <v>169.30000305175801</v>
      </c>
      <c r="G67">
        <v>162.17999267578099</v>
      </c>
      <c r="H67">
        <v>168.17999267578099</v>
      </c>
      <c r="I67">
        <v>172.38999938964801</v>
      </c>
      <c r="J67">
        <v>170.13000488281199</v>
      </c>
      <c r="K67">
        <v>171</v>
      </c>
      <c r="L67">
        <v>166.830001831055</v>
      </c>
      <c r="M67">
        <v>171.71000671386699</v>
      </c>
      <c r="N67">
        <v>177.97000122070301</v>
      </c>
      <c r="O67">
        <v>172.19999694824199</v>
      </c>
      <c r="P67">
        <v>163.22999572753901</v>
      </c>
      <c r="Q67">
        <v>162.16000366210901</v>
      </c>
      <c r="R67">
        <v>174.30999755859401</v>
      </c>
      <c r="S67">
        <v>167.27000427246099</v>
      </c>
      <c r="T67">
        <v>178.88999938964801</v>
      </c>
    </row>
    <row r="68" spans="1:20" x14ac:dyDescent="0.3">
      <c r="A68">
        <v>167.35000610351599</v>
      </c>
      <c r="B68">
        <v>163.38999938964801</v>
      </c>
      <c r="C68">
        <v>166.61000061035199</v>
      </c>
      <c r="D68">
        <v>173.47999572753901</v>
      </c>
      <c r="E68">
        <v>170.69999694824199</v>
      </c>
      <c r="F68">
        <v>171.24000549316401</v>
      </c>
      <c r="G68">
        <v>174.30999755859401</v>
      </c>
      <c r="H68">
        <v>173.36000061035199</v>
      </c>
      <c r="I68">
        <v>172.11999511718801</v>
      </c>
      <c r="J68">
        <v>172.52999877929699</v>
      </c>
      <c r="K68">
        <v>166.82000732421901</v>
      </c>
      <c r="L68">
        <v>173.44000244140599</v>
      </c>
      <c r="M68">
        <v>169.10000610351599</v>
      </c>
      <c r="N68">
        <v>172.77000427246099</v>
      </c>
      <c r="O68">
        <v>173.64999389648401</v>
      </c>
      <c r="P68">
        <v>163.21000671386699</v>
      </c>
      <c r="Q68">
        <v>167.14999389648401</v>
      </c>
      <c r="R68">
        <v>165.44000244140599</v>
      </c>
      <c r="S68">
        <v>172.28999328613301</v>
      </c>
      <c r="T68">
        <v>168.16000366210901</v>
      </c>
    </row>
    <row r="69" spans="1:20" x14ac:dyDescent="0.3">
      <c r="A69">
        <v>166.72999572753901</v>
      </c>
      <c r="B69">
        <v>169.60000610351599</v>
      </c>
      <c r="C69">
        <v>169.46000671386699</v>
      </c>
      <c r="D69">
        <v>175.41000366210901</v>
      </c>
      <c r="E69">
        <v>166.75999450683599</v>
      </c>
      <c r="F69">
        <v>169.11999511718801</v>
      </c>
      <c r="G69">
        <v>174.30999755859401</v>
      </c>
      <c r="H69">
        <v>176.42999267578099</v>
      </c>
      <c r="I69">
        <v>175.80000305175801</v>
      </c>
      <c r="J69">
        <v>175.02000427246099</v>
      </c>
      <c r="K69">
        <v>170.919998168945</v>
      </c>
      <c r="L69">
        <v>174.580001831055</v>
      </c>
      <c r="M69">
        <v>171.35000610351599</v>
      </c>
      <c r="N69">
        <v>164.80000305175801</v>
      </c>
      <c r="O69">
        <v>164.77999877929699</v>
      </c>
      <c r="P69">
        <v>171.36000061035199</v>
      </c>
      <c r="Q69">
        <v>174.88999938964801</v>
      </c>
      <c r="R69">
        <v>171.96000671386699</v>
      </c>
      <c r="S69">
        <v>169.38999938964801</v>
      </c>
      <c r="T69">
        <v>172.27000427246099</v>
      </c>
    </row>
    <row r="70" spans="1:20" x14ac:dyDescent="0.3">
      <c r="A70">
        <v>174.44000244140599</v>
      </c>
      <c r="B70">
        <v>175.67999267578099</v>
      </c>
      <c r="C70">
        <v>166.78999328613301</v>
      </c>
      <c r="D70">
        <v>175.47000122070301</v>
      </c>
      <c r="E70">
        <v>167.67999267578099</v>
      </c>
      <c r="F70">
        <v>171.64999389648401</v>
      </c>
      <c r="G70">
        <v>173.82000732421901</v>
      </c>
      <c r="H70">
        <v>170.89999389648401</v>
      </c>
      <c r="I70">
        <v>173.86999511718801</v>
      </c>
      <c r="J70">
        <v>163.92999267578099</v>
      </c>
      <c r="K70">
        <v>156.53999328613301</v>
      </c>
      <c r="L70">
        <v>165.41000366210901</v>
      </c>
      <c r="M70">
        <v>162.5</v>
      </c>
      <c r="N70">
        <v>174.02999877929699</v>
      </c>
      <c r="O70">
        <v>172.44999694824199</v>
      </c>
      <c r="P70">
        <v>172.47000122070301</v>
      </c>
      <c r="Q70">
        <v>175.07000732421901</v>
      </c>
      <c r="R70">
        <v>171.44000244140599</v>
      </c>
      <c r="S70">
        <v>175.05000305175801</v>
      </c>
      <c r="T70">
        <v>173.61000061035199</v>
      </c>
    </row>
    <row r="71" spans="1:20" x14ac:dyDescent="0.3">
      <c r="A71">
        <v>171.80000305175801</v>
      </c>
      <c r="B71">
        <v>168.36000061035199</v>
      </c>
      <c r="C71">
        <v>177.71000671386699</v>
      </c>
      <c r="D71">
        <v>164.19999694824199</v>
      </c>
      <c r="E71">
        <v>174.41000366210901</v>
      </c>
      <c r="F71">
        <v>169.169998168945</v>
      </c>
      <c r="G71">
        <v>167.57000732421901</v>
      </c>
      <c r="H71">
        <v>170.94999694824199</v>
      </c>
      <c r="I71">
        <v>170.88999938964801</v>
      </c>
      <c r="J71">
        <v>169.22999572753901</v>
      </c>
      <c r="K71">
        <v>170.05000305175801</v>
      </c>
      <c r="L71">
        <v>167.69999694824199</v>
      </c>
      <c r="M71">
        <v>174.75</v>
      </c>
      <c r="N71">
        <v>174.03999328613301</v>
      </c>
      <c r="O71">
        <v>174.669998168945</v>
      </c>
      <c r="P71">
        <v>171.94999694824199</v>
      </c>
      <c r="Q71">
        <v>171.49000549316401</v>
      </c>
      <c r="R71">
        <v>165.11000061035199</v>
      </c>
      <c r="S71">
        <v>170.91000366210901</v>
      </c>
      <c r="T71">
        <v>169.21000671386699</v>
      </c>
    </row>
    <row r="72" spans="1:20" x14ac:dyDescent="0.3">
      <c r="A72">
        <v>164.02999877929699</v>
      </c>
      <c r="B72">
        <v>171.75</v>
      </c>
      <c r="C72">
        <v>176.27000427246099</v>
      </c>
      <c r="D72">
        <v>164.53999328613301</v>
      </c>
      <c r="E72">
        <v>169.77000427246099</v>
      </c>
      <c r="F72">
        <v>167.42999267578099</v>
      </c>
      <c r="G72">
        <v>163.22000122070301</v>
      </c>
      <c r="H72">
        <v>169.11999511718801</v>
      </c>
      <c r="I72">
        <v>167.32000732421901</v>
      </c>
      <c r="J72">
        <v>166.28999328613301</v>
      </c>
      <c r="K72">
        <v>168.74000549316401</v>
      </c>
      <c r="L72">
        <v>175.63999938964801</v>
      </c>
      <c r="M72">
        <v>166.19000244140599</v>
      </c>
      <c r="N72">
        <v>169.85000610351599</v>
      </c>
      <c r="O72">
        <v>174.330001831055</v>
      </c>
      <c r="P72">
        <v>169.60000610351599</v>
      </c>
      <c r="Q72">
        <v>171.86999511718801</v>
      </c>
      <c r="R72">
        <v>171.58999633789099</v>
      </c>
      <c r="S72">
        <v>173.49000549316401</v>
      </c>
      <c r="T72">
        <v>164.50999450683599</v>
      </c>
    </row>
    <row r="73" spans="1:20" x14ac:dyDescent="0.3">
      <c r="A73">
        <v>165.97999572753901</v>
      </c>
      <c r="B73">
        <v>165.11999511718801</v>
      </c>
      <c r="C73">
        <v>165.11000061035199</v>
      </c>
      <c r="D73">
        <v>161.53999328613301</v>
      </c>
      <c r="E73">
        <v>168.24000549316401</v>
      </c>
      <c r="F73">
        <v>169.30999755859401</v>
      </c>
      <c r="G73">
        <v>163.05999755859401</v>
      </c>
      <c r="H73">
        <v>170.10000610351599</v>
      </c>
      <c r="I73">
        <v>169.25999450683599</v>
      </c>
      <c r="J73">
        <v>165.61999511718801</v>
      </c>
      <c r="K73">
        <v>170.52000427246099</v>
      </c>
      <c r="L73">
        <v>165.55000305175801</v>
      </c>
      <c r="M73">
        <v>162.52999877929699</v>
      </c>
      <c r="N73">
        <v>171.57000732421901</v>
      </c>
      <c r="O73">
        <v>172.97999572753901</v>
      </c>
      <c r="P73">
        <v>169.36999511718801</v>
      </c>
      <c r="Q73">
        <v>169.55999755859401</v>
      </c>
      <c r="R73">
        <v>168.63999938964801</v>
      </c>
      <c r="S73">
        <v>167.94999694824199</v>
      </c>
      <c r="T73">
        <v>171.07000732421901</v>
      </c>
    </row>
    <row r="74" spans="1:20" x14ac:dyDescent="0.3">
      <c r="A74">
        <v>163.88000488281199</v>
      </c>
      <c r="B74">
        <v>172.60000610351599</v>
      </c>
      <c r="C74">
        <v>169.30000305175801</v>
      </c>
      <c r="D74">
        <v>168.17999267578099</v>
      </c>
      <c r="E74">
        <v>169.69999694824199</v>
      </c>
      <c r="F74">
        <v>168.580001831055</v>
      </c>
      <c r="G74">
        <v>173.77000427246099</v>
      </c>
      <c r="H74">
        <v>176.5</v>
      </c>
      <c r="I74">
        <v>170.21000671386699</v>
      </c>
      <c r="J74">
        <v>170.61999511718801</v>
      </c>
      <c r="K74">
        <v>171.69000244140599</v>
      </c>
      <c r="L74">
        <v>177.63000488281301</v>
      </c>
      <c r="M74">
        <v>170.91000366210901</v>
      </c>
      <c r="N74">
        <v>176.22999572753901</v>
      </c>
      <c r="O74">
        <v>168.55000305175801</v>
      </c>
      <c r="P74">
        <v>169.08999633789099</v>
      </c>
      <c r="Q74">
        <v>161.30000305175801</v>
      </c>
      <c r="R74">
        <v>166.89999389648401</v>
      </c>
      <c r="S74">
        <v>165.85000610351599</v>
      </c>
      <c r="T74">
        <v>168.36000061035199</v>
      </c>
    </row>
    <row r="75" spans="1:20" x14ac:dyDescent="0.3">
      <c r="A75">
        <v>169.11999511718801</v>
      </c>
      <c r="B75">
        <v>164.99000549316401</v>
      </c>
      <c r="C75">
        <v>166.02000427246099</v>
      </c>
      <c r="D75">
        <v>175.03999328613301</v>
      </c>
      <c r="E75">
        <v>173.13999938964801</v>
      </c>
      <c r="F75">
        <v>167.64999389648401</v>
      </c>
      <c r="G75">
        <v>172.169998168945</v>
      </c>
      <c r="H75">
        <v>170.52000427246099</v>
      </c>
      <c r="I75">
        <v>172.78999328613301</v>
      </c>
      <c r="J75">
        <v>175.32000732421901</v>
      </c>
      <c r="K75">
        <v>172.69000244140599</v>
      </c>
      <c r="L75">
        <v>165.75</v>
      </c>
      <c r="M75">
        <v>169.57000732421901</v>
      </c>
      <c r="N75">
        <v>173.49000549316401</v>
      </c>
      <c r="O75">
        <v>169.10000610351599</v>
      </c>
      <c r="P75">
        <v>170.22999572753901</v>
      </c>
      <c r="Q75">
        <v>172.97000122070301</v>
      </c>
      <c r="R75">
        <v>171.66000366210901</v>
      </c>
      <c r="S75">
        <v>170.88000488281301</v>
      </c>
      <c r="T75">
        <v>173.47000122070301</v>
      </c>
    </row>
    <row r="76" spans="1:20" x14ac:dyDescent="0.3">
      <c r="A76">
        <v>167.97000122070301</v>
      </c>
      <c r="B76">
        <v>165.47000122070301</v>
      </c>
      <c r="C76">
        <v>170.36999511718801</v>
      </c>
      <c r="D76">
        <v>172.13000488281301</v>
      </c>
      <c r="E76">
        <v>162.47000122070301</v>
      </c>
      <c r="F76">
        <v>167.33999633789099</v>
      </c>
      <c r="G76">
        <v>170.96000671386699</v>
      </c>
      <c r="H76">
        <v>171.77999877929699</v>
      </c>
      <c r="I76">
        <v>166.52999877929699</v>
      </c>
      <c r="J76">
        <v>170.14999389648401</v>
      </c>
      <c r="K76">
        <v>171.86000061035199</v>
      </c>
      <c r="L76">
        <v>167.13000488281301</v>
      </c>
      <c r="M76">
        <v>173.64999389648401</v>
      </c>
      <c r="N76">
        <v>171.39999389648401</v>
      </c>
      <c r="O76">
        <v>166.58999633789099</v>
      </c>
      <c r="P76">
        <v>175.66000366210901</v>
      </c>
      <c r="Q76">
        <v>165.35000610351599</v>
      </c>
      <c r="R76">
        <v>172.60000610351599</v>
      </c>
      <c r="S76">
        <v>164.63000488281301</v>
      </c>
      <c r="T76">
        <v>174.88999938964801</v>
      </c>
    </row>
    <row r="77" spans="1:20" x14ac:dyDescent="0.3">
      <c r="A77">
        <v>167.35000610351599</v>
      </c>
      <c r="B77">
        <v>175.35000610351599</v>
      </c>
      <c r="C77">
        <v>173.05999755859401</v>
      </c>
      <c r="D77">
        <v>166.57000732421901</v>
      </c>
      <c r="E77">
        <v>168.22000122070301</v>
      </c>
      <c r="F77">
        <v>176.580001831055</v>
      </c>
      <c r="G77">
        <v>168.49000549316401</v>
      </c>
      <c r="H77">
        <v>171.05000305175801</v>
      </c>
      <c r="I77">
        <v>169.58999633789099</v>
      </c>
      <c r="J77">
        <v>171.67999267578099</v>
      </c>
      <c r="K77">
        <v>171.17999267578099</v>
      </c>
      <c r="L77">
        <v>176.16000366210901</v>
      </c>
      <c r="M77">
        <v>168.96000671386699</v>
      </c>
      <c r="N77">
        <v>174.169998168945</v>
      </c>
      <c r="O77">
        <v>170.61999511718801</v>
      </c>
      <c r="P77">
        <v>175.39999389648401</v>
      </c>
      <c r="Q77">
        <v>175.83999633789099</v>
      </c>
      <c r="R77">
        <v>165.53999328613301</v>
      </c>
      <c r="S77">
        <v>172.30999755859401</v>
      </c>
      <c r="T77">
        <v>174.27000427246099</v>
      </c>
    </row>
    <row r="78" spans="1:20" x14ac:dyDescent="0.3">
      <c r="A78">
        <v>172.55000305175801</v>
      </c>
      <c r="B78">
        <v>171.85000610351599</v>
      </c>
      <c r="C78">
        <v>170.22000122070301</v>
      </c>
      <c r="D78">
        <v>168.38999938964801</v>
      </c>
      <c r="E78">
        <v>165.32000732421901</v>
      </c>
      <c r="F78">
        <v>174.19999694824199</v>
      </c>
      <c r="G78">
        <v>166.52000427246099</v>
      </c>
      <c r="H78">
        <v>171.97000122070301</v>
      </c>
      <c r="I78">
        <v>166.52000427246099</v>
      </c>
      <c r="J78">
        <v>172.38000488281301</v>
      </c>
      <c r="K78">
        <v>174.00999450683599</v>
      </c>
      <c r="L78">
        <v>166.11999511718699</v>
      </c>
      <c r="M78">
        <v>169.669998168945</v>
      </c>
      <c r="N78">
        <v>171.86999511718801</v>
      </c>
      <c r="O78">
        <v>166.19000244140599</v>
      </c>
      <c r="P78">
        <v>164.330001831055</v>
      </c>
      <c r="Q78">
        <v>172.25999450683599</v>
      </c>
      <c r="R78">
        <v>166.17999267578099</v>
      </c>
      <c r="S78">
        <v>172.55999755859401</v>
      </c>
      <c r="T78">
        <v>168.11000061035199</v>
      </c>
    </row>
    <row r="79" spans="1:20" x14ac:dyDescent="0.3">
      <c r="A79">
        <v>165.02999877929699</v>
      </c>
      <c r="B79">
        <v>161.80999755859401</v>
      </c>
      <c r="C79">
        <v>169.10000610351599</v>
      </c>
      <c r="D79">
        <v>168.25</v>
      </c>
      <c r="E79">
        <v>166.83999633789099</v>
      </c>
      <c r="F79">
        <v>170.69999694824199</v>
      </c>
      <c r="G79">
        <v>175.91000366210901</v>
      </c>
      <c r="H79">
        <v>176.830001831055</v>
      </c>
      <c r="I79">
        <v>174.02000427246099</v>
      </c>
      <c r="J79">
        <v>174.33999633789099</v>
      </c>
      <c r="K79">
        <v>166.86000061035199</v>
      </c>
      <c r="L79">
        <v>170.91000366210901</v>
      </c>
      <c r="M79">
        <v>172.08999633789099</v>
      </c>
      <c r="N79">
        <v>170.24000549316401</v>
      </c>
      <c r="O79">
        <v>167.42999267578099</v>
      </c>
      <c r="P79">
        <v>172</v>
      </c>
      <c r="Q79">
        <v>174.53999328613301</v>
      </c>
      <c r="R79">
        <v>167.88999938964801</v>
      </c>
      <c r="S79">
        <v>163.11999511718801</v>
      </c>
      <c r="T79">
        <v>169.58999633789099</v>
      </c>
    </row>
    <row r="80" spans="1:20" x14ac:dyDescent="0.3">
      <c r="A80">
        <v>172.11000061035199</v>
      </c>
      <c r="B80">
        <v>171.47000122070301</v>
      </c>
      <c r="C80">
        <v>169.85000610351599</v>
      </c>
      <c r="D80">
        <v>171.19999694824199</v>
      </c>
      <c r="E80">
        <v>165.74000549316401</v>
      </c>
      <c r="F80">
        <v>169.919998168945</v>
      </c>
      <c r="G80">
        <v>170.44999694824199</v>
      </c>
      <c r="H80">
        <v>172.30000305175801</v>
      </c>
      <c r="I80">
        <v>166.67999267578099</v>
      </c>
      <c r="J80">
        <v>167.05000305175801</v>
      </c>
      <c r="K80">
        <v>173.11999511718801</v>
      </c>
      <c r="L80">
        <v>170.83999633789099</v>
      </c>
      <c r="M80">
        <v>164.44000244140599</v>
      </c>
      <c r="N80">
        <v>172.38000488281301</v>
      </c>
      <c r="O80">
        <v>171.35000610351599</v>
      </c>
      <c r="P80">
        <v>168.330001831055</v>
      </c>
      <c r="Q80">
        <v>168.52000427246099</v>
      </c>
      <c r="R80">
        <v>167.38999938964801</v>
      </c>
      <c r="S80">
        <v>178.64999389648401</v>
      </c>
      <c r="T80">
        <v>174.25</v>
      </c>
    </row>
    <row r="81" spans="1:20" x14ac:dyDescent="0.3">
      <c r="A81">
        <v>172.77000427246099</v>
      </c>
      <c r="B81">
        <v>168.22999572753901</v>
      </c>
      <c r="C81">
        <v>167.25999450683599</v>
      </c>
      <c r="D81">
        <v>166.44000244140599</v>
      </c>
      <c r="E81">
        <v>172.61999511718801</v>
      </c>
      <c r="F81">
        <v>170.86999511718801</v>
      </c>
      <c r="G81">
        <v>172.53999328613301</v>
      </c>
      <c r="H81">
        <v>175.21000671386699</v>
      </c>
      <c r="I81">
        <v>170.72000122070301</v>
      </c>
      <c r="J81">
        <v>169.14999389648401</v>
      </c>
      <c r="K81">
        <v>174.830001831055</v>
      </c>
      <c r="L81">
        <v>170.36000061035199</v>
      </c>
      <c r="M81">
        <v>180.57000732421901</v>
      </c>
      <c r="N81">
        <v>168.55000305175801</v>
      </c>
      <c r="O81">
        <v>179.63000488281301</v>
      </c>
      <c r="P81">
        <v>165.38999938964801</v>
      </c>
      <c r="Q81">
        <v>163.67999267578099</v>
      </c>
      <c r="R81">
        <v>170.580001831055</v>
      </c>
      <c r="S81">
        <v>168.419998168945</v>
      </c>
      <c r="T81">
        <v>169.80000305175801</v>
      </c>
    </row>
    <row r="82" spans="1:20" x14ac:dyDescent="0.3">
      <c r="A82">
        <v>171.38999938964801</v>
      </c>
      <c r="B82">
        <v>174.35000610351599</v>
      </c>
      <c r="C82">
        <v>168.5</v>
      </c>
      <c r="D82">
        <v>173.05000305175801</v>
      </c>
      <c r="E82">
        <v>165.47000122070301</v>
      </c>
      <c r="F82">
        <v>177.47000122070301</v>
      </c>
      <c r="G82">
        <v>170.99000549316401</v>
      </c>
      <c r="H82">
        <v>170.27000427246099</v>
      </c>
      <c r="I82">
        <v>169.75</v>
      </c>
      <c r="J82">
        <v>162.14999389648401</v>
      </c>
      <c r="K82">
        <v>174.42999267578099</v>
      </c>
      <c r="L82">
        <v>167.80000305175801</v>
      </c>
      <c r="M82">
        <v>173.72000122070301</v>
      </c>
      <c r="N82">
        <v>173.89999389648401</v>
      </c>
      <c r="O82">
        <v>168.30999755859401</v>
      </c>
      <c r="P82">
        <v>171.14999389648401</v>
      </c>
      <c r="Q82">
        <v>174.88000488281301</v>
      </c>
      <c r="R82">
        <v>170.22000122070301</v>
      </c>
      <c r="S82">
        <v>162.13000488281301</v>
      </c>
      <c r="T82">
        <v>165.80999755859401</v>
      </c>
    </row>
    <row r="83" spans="1:20" x14ac:dyDescent="0.3">
      <c r="A83">
        <v>167.44999694824199</v>
      </c>
      <c r="B83">
        <v>168.74000549316401</v>
      </c>
      <c r="C83">
        <v>170.89999389648401</v>
      </c>
      <c r="D83">
        <v>161.75999450683599</v>
      </c>
      <c r="E83">
        <v>171.42999267578099</v>
      </c>
      <c r="F83">
        <v>172.22999572753901</v>
      </c>
      <c r="G83">
        <v>166.75</v>
      </c>
      <c r="H83">
        <v>175.82000732421901</v>
      </c>
      <c r="I83">
        <v>166.53999328613301</v>
      </c>
      <c r="J83">
        <v>168.22999572753901</v>
      </c>
      <c r="K83">
        <v>168.47999572753901</v>
      </c>
      <c r="L83">
        <v>173.13000488281301</v>
      </c>
      <c r="M83">
        <v>170.27000427246099</v>
      </c>
      <c r="N83">
        <v>174.22999572753901</v>
      </c>
      <c r="O83">
        <v>165.58999633789099</v>
      </c>
      <c r="P83">
        <v>167.19999694824199</v>
      </c>
      <c r="Q83">
        <v>168.13000488281301</v>
      </c>
      <c r="R83">
        <v>171.72999572753901</v>
      </c>
      <c r="S83">
        <v>167.580001831055</v>
      </c>
      <c r="T83">
        <v>179.52000427246099</v>
      </c>
    </row>
    <row r="84" spans="1:20" x14ac:dyDescent="0.3">
      <c r="A84">
        <v>177.38000488281301</v>
      </c>
      <c r="B84">
        <v>172.71000671386699</v>
      </c>
      <c r="C84">
        <v>171.66000366210901</v>
      </c>
      <c r="D84">
        <v>168.69000244140599</v>
      </c>
      <c r="E84">
        <v>168.52000427246099</v>
      </c>
      <c r="F84">
        <v>166.10000610351599</v>
      </c>
      <c r="G84">
        <v>170.63999938964801</v>
      </c>
      <c r="H84">
        <v>165.61000061035199</v>
      </c>
      <c r="I84">
        <v>168.72000122070301</v>
      </c>
      <c r="J84">
        <v>155.92999267578099</v>
      </c>
      <c r="K84">
        <v>173.44000244140599</v>
      </c>
      <c r="L84">
        <v>169.72999572753901</v>
      </c>
      <c r="M84">
        <v>175.49000549316401</v>
      </c>
      <c r="N84">
        <v>167.69999694824199</v>
      </c>
      <c r="O84">
        <v>165.55999755859401</v>
      </c>
      <c r="P84">
        <v>170.52999877929699</v>
      </c>
      <c r="Q84">
        <v>170.330001831055</v>
      </c>
      <c r="R84">
        <v>178.91000366210901</v>
      </c>
      <c r="S84">
        <v>168.49000549316401</v>
      </c>
      <c r="T84">
        <v>173.52999877929699</v>
      </c>
    </row>
    <row r="85" spans="1:20" x14ac:dyDescent="0.3">
      <c r="A85">
        <v>180.19000244140599</v>
      </c>
      <c r="B85">
        <v>171.69999694824199</v>
      </c>
      <c r="C85">
        <v>165.63000488281301</v>
      </c>
      <c r="D85">
        <v>161.08999633789099</v>
      </c>
      <c r="E85">
        <v>171.38999938964801</v>
      </c>
      <c r="F85">
        <v>168.13000488281301</v>
      </c>
      <c r="G85">
        <v>173.14999389648401</v>
      </c>
      <c r="H85">
        <v>162.52000427246099</v>
      </c>
      <c r="I85">
        <v>174.58999633789099</v>
      </c>
      <c r="J85">
        <v>173.94999694824199</v>
      </c>
      <c r="K85">
        <v>171.419998168945</v>
      </c>
      <c r="L85">
        <v>164.08999633789099</v>
      </c>
      <c r="M85">
        <v>163.30000305175801</v>
      </c>
      <c r="N85">
        <v>170.63999938964801</v>
      </c>
      <c r="O85">
        <v>169.94000244140599</v>
      </c>
      <c r="P85">
        <v>175.27999877929699</v>
      </c>
      <c r="Q85">
        <v>167.00999450683599</v>
      </c>
      <c r="R85">
        <v>171.71000671386699</v>
      </c>
      <c r="S85">
        <v>170.21000671386699</v>
      </c>
      <c r="T85">
        <v>169.61000061035199</v>
      </c>
    </row>
    <row r="86" spans="1:20" x14ac:dyDescent="0.3">
      <c r="A86">
        <v>175.32000732421901</v>
      </c>
      <c r="B86">
        <v>165.03999328613301</v>
      </c>
      <c r="C86">
        <v>163.07000732421901</v>
      </c>
      <c r="D86">
        <v>175.10000610351599</v>
      </c>
      <c r="E86">
        <v>169.11000061035199</v>
      </c>
      <c r="F86">
        <v>175.30000305175801</v>
      </c>
      <c r="G86">
        <v>174.13000488281301</v>
      </c>
      <c r="H86">
        <v>172.330001831055</v>
      </c>
      <c r="I86">
        <v>170.830001831055</v>
      </c>
      <c r="J86">
        <v>172.86999511718801</v>
      </c>
      <c r="K86">
        <v>171.88999938964801</v>
      </c>
      <c r="L86">
        <v>171.61999511718801</v>
      </c>
      <c r="M86">
        <v>170</v>
      </c>
      <c r="N86">
        <v>179.25999450683599</v>
      </c>
      <c r="O86">
        <v>169.83999633789099</v>
      </c>
      <c r="P86">
        <v>174.47000122070301</v>
      </c>
      <c r="Q86">
        <v>164.11000061035199</v>
      </c>
      <c r="R86">
        <v>167.96000671386699</v>
      </c>
      <c r="S86">
        <v>169.47999572753901</v>
      </c>
      <c r="T86">
        <v>162.39999389648401</v>
      </c>
    </row>
    <row r="87" spans="1:20" x14ac:dyDescent="0.3">
      <c r="A87">
        <v>172.35000610351599</v>
      </c>
      <c r="B87">
        <v>175.72000122070301</v>
      </c>
      <c r="C87">
        <v>171.33999633789099</v>
      </c>
      <c r="D87">
        <v>165.52000427246099</v>
      </c>
      <c r="E87">
        <v>166.86000061035199</v>
      </c>
      <c r="F87">
        <v>166.19999694824199</v>
      </c>
      <c r="G87">
        <v>168.61000061035199</v>
      </c>
      <c r="H87">
        <v>169.42999267578099</v>
      </c>
      <c r="I87">
        <v>170.25999450683599</v>
      </c>
      <c r="J87">
        <v>166.919998168945</v>
      </c>
      <c r="K87">
        <v>173.50999450683599</v>
      </c>
      <c r="L87">
        <v>170.35000610351599</v>
      </c>
      <c r="M87">
        <v>172.02999877929699</v>
      </c>
      <c r="N87">
        <v>175.39999389648401</v>
      </c>
      <c r="O87">
        <v>171.52999877929699</v>
      </c>
      <c r="P87">
        <v>177.77000427246099</v>
      </c>
      <c r="Q87">
        <v>165.69000244140599</v>
      </c>
      <c r="R87">
        <v>169.13000488281301</v>
      </c>
      <c r="S87">
        <v>164.19000244140599</v>
      </c>
      <c r="T87">
        <v>169.19000244140599</v>
      </c>
    </row>
    <row r="88" spans="1:20" x14ac:dyDescent="0.3">
      <c r="A88">
        <v>168.72000122070301</v>
      </c>
      <c r="B88">
        <v>172.10000610351599</v>
      </c>
      <c r="C88">
        <v>172.72000122070301</v>
      </c>
      <c r="D88">
        <v>171.52999877929699</v>
      </c>
      <c r="E88">
        <v>171.74000549316401</v>
      </c>
      <c r="F88">
        <v>166.82000732421901</v>
      </c>
      <c r="G88">
        <v>164.46000671386699</v>
      </c>
      <c r="H88">
        <v>166.64999389648401</v>
      </c>
      <c r="I88">
        <v>173.580001831055</v>
      </c>
      <c r="J88">
        <v>167.72000122070301</v>
      </c>
      <c r="K88">
        <v>169.77999877929699</v>
      </c>
      <c r="L88">
        <v>162.71000671386699</v>
      </c>
      <c r="M88">
        <v>171.74000549316401</v>
      </c>
      <c r="N88">
        <v>168.30999755859401</v>
      </c>
      <c r="O88">
        <v>174.14999389648401</v>
      </c>
      <c r="P88">
        <v>165.21000671386699</v>
      </c>
      <c r="Q88">
        <v>167.71000671386699</v>
      </c>
      <c r="R88">
        <v>166.10000610351599</v>
      </c>
      <c r="S88">
        <v>171.10000610351599</v>
      </c>
      <c r="T88">
        <v>167.66000366210901</v>
      </c>
    </row>
    <row r="89" spans="1:20" x14ac:dyDescent="0.3">
      <c r="A89">
        <v>171.53999328613301</v>
      </c>
      <c r="B89">
        <v>169.69000244140599</v>
      </c>
      <c r="C89">
        <v>166.13000488281301</v>
      </c>
      <c r="D89">
        <v>170.44000244140599</v>
      </c>
      <c r="E89">
        <v>178.47000122070301</v>
      </c>
      <c r="F89">
        <v>172.28999328613301</v>
      </c>
      <c r="G89">
        <v>164.24000549316401</v>
      </c>
      <c r="H89">
        <v>168.919998168945</v>
      </c>
      <c r="I89">
        <v>171.14999389648401</v>
      </c>
      <c r="J89">
        <v>174.02000427246099</v>
      </c>
      <c r="K89">
        <v>178.86999511718801</v>
      </c>
      <c r="L89">
        <v>169.27999877929699</v>
      </c>
      <c r="M89">
        <v>167.08999633789099</v>
      </c>
      <c r="N89">
        <v>160.38000488281301</v>
      </c>
      <c r="O89">
        <v>163.49000549316401</v>
      </c>
      <c r="P89">
        <v>169.00999450683599</v>
      </c>
      <c r="Q89">
        <v>171.77999877929699</v>
      </c>
      <c r="R89">
        <v>164.86999511718801</v>
      </c>
      <c r="S89">
        <v>167.61999511718801</v>
      </c>
      <c r="T89">
        <v>169.63000488281301</v>
      </c>
    </row>
    <row r="90" spans="1:20" x14ac:dyDescent="0.3">
      <c r="A90">
        <v>167.30000305175801</v>
      </c>
      <c r="B90">
        <v>180.88000488281301</v>
      </c>
      <c r="C90">
        <v>168.86000061035199</v>
      </c>
      <c r="D90">
        <v>167.47000122070301</v>
      </c>
      <c r="E90">
        <v>167.16000366210901</v>
      </c>
      <c r="F90">
        <v>168.63999938964801</v>
      </c>
      <c r="G90">
        <v>174.88000488281301</v>
      </c>
      <c r="H90">
        <v>179.080001831055</v>
      </c>
      <c r="I90">
        <v>168.71000671386699</v>
      </c>
      <c r="J90">
        <v>165.47000122070301</v>
      </c>
      <c r="K90">
        <v>165.330001831055</v>
      </c>
      <c r="L90">
        <v>170.5</v>
      </c>
      <c r="M90">
        <v>165.44000244140599</v>
      </c>
      <c r="N90">
        <v>172.86999511718801</v>
      </c>
      <c r="O90">
        <v>173.72999572753901</v>
      </c>
      <c r="P90">
        <v>163.25</v>
      </c>
      <c r="Q90">
        <v>178.88000488281301</v>
      </c>
      <c r="R90">
        <v>172.330001831055</v>
      </c>
      <c r="S90">
        <v>165.57000732421901</v>
      </c>
      <c r="T90">
        <v>166.80000305175801</v>
      </c>
    </row>
    <row r="91" spans="1:20" x14ac:dyDescent="0.3">
      <c r="A91">
        <v>163.63999938964801</v>
      </c>
      <c r="B91">
        <v>172.69999694824199</v>
      </c>
      <c r="C91">
        <v>170.36999511718801</v>
      </c>
      <c r="D91">
        <v>169.46000671386699</v>
      </c>
      <c r="E91">
        <v>173.07000732421901</v>
      </c>
      <c r="F91">
        <v>166.52999877929699</v>
      </c>
      <c r="G91">
        <v>173.42999267578099</v>
      </c>
      <c r="H91">
        <v>163.60000610351599</v>
      </c>
      <c r="I91">
        <v>173.13000488281301</v>
      </c>
      <c r="J91">
        <v>168.36000061035199</v>
      </c>
      <c r="K91">
        <v>169.86999511718801</v>
      </c>
      <c r="L91">
        <v>168.49000549316401</v>
      </c>
      <c r="M91">
        <v>173.32000732421901</v>
      </c>
      <c r="N91">
        <v>163.69000244140599</v>
      </c>
      <c r="O91">
        <v>169.17999267578099</v>
      </c>
      <c r="P91">
        <v>165.63999938964801</v>
      </c>
      <c r="Q91">
        <v>175.13999938964801</v>
      </c>
      <c r="R91">
        <v>174.02999877929699</v>
      </c>
      <c r="S91">
        <v>172.88000488281301</v>
      </c>
      <c r="T91">
        <v>164.53999328613301</v>
      </c>
    </row>
    <row r="92" spans="1:20" x14ac:dyDescent="0.3">
      <c r="A92">
        <v>171.07000732421901</v>
      </c>
      <c r="B92">
        <v>168.60000610351599</v>
      </c>
      <c r="C92">
        <v>177.97999572753901</v>
      </c>
      <c r="D92">
        <v>166.66000366210901</v>
      </c>
      <c r="E92">
        <v>172.35000610351599</v>
      </c>
      <c r="F92">
        <v>175.00999450683599</v>
      </c>
      <c r="G92">
        <v>164.86000061035199</v>
      </c>
      <c r="H92">
        <v>170.35000610351599</v>
      </c>
      <c r="I92">
        <v>170.19999694824199</v>
      </c>
      <c r="J92">
        <v>165.36000061035199</v>
      </c>
      <c r="K92">
        <v>171.05999755859401</v>
      </c>
      <c r="L92">
        <v>164.74000549316401</v>
      </c>
      <c r="M92">
        <v>174.11999511718801</v>
      </c>
      <c r="N92">
        <v>169.16000366210901</v>
      </c>
      <c r="O92">
        <v>170.07000732421901</v>
      </c>
      <c r="P92">
        <v>171.30999755859401</v>
      </c>
      <c r="Q92">
        <v>181.60000610351599</v>
      </c>
      <c r="R92">
        <v>163.88999938964801</v>
      </c>
      <c r="S92">
        <v>171.39999389648401</v>
      </c>
      <c r="T92">
        <v>175.580001831055</v>
      </c>
    </row>
    <row r="93" spans="1:20" x14ac:dyDescent="0.3">
      <c r="A93">
        <v>164.75</v>
      </c>
      <c r="B93">
        <v>174.13999938964801</v>
      </c>
      <c r="C93">
        <v>170.67999267578099</v>
      </c>
      <c r="D93">
        <v>174.44999694824199</v>
      </c>
      <c r="E93">
        <v>163.78999328613301</v>
      </c>
      <c r="F93">
        <v>167.27999877929699</v>
      </c>
      <c r="G93">
        <v>175.77000427246099</v>
      </c>
      <c r="H93">
        <v>170.33999633789099</v>
      </c>
      <c r="I93">
        <v>178.32000732421901</v>
      </c>
      <c r="J93">
        <v>173.30000305175801</v>
      </c>
      <c r="K93">
        <v>171.11999511718801</v>
      </c>
      <c r="L93">
        <v>169.86000061035199</v>
      </c>
      <c r="M93">
        <v>169.86000061035199</v>
      </c>
      <c r="N93">
        <v>173.69999694824199</v>
      </c>
      <c r="O93">
        <v>170.22999572753901</v>
      </c>
      <c r="P93">
        <v>166.52000427246099</v>
      </c>
      <c r="Q93">
        <v>167.91000366210901</v>
      </c>
      <c r="R93">
        <v>165.97999572753901</v>
      </c>
      <c r="S93">
        <v>162.58999633789099</v>
      </c>
      <c r="T93">
        <v>177.80000305175801</v>
      </c>
    </row>
    <row r="94" spans="1:20" x14ac:dyDescent="0.3">
      <c r="A94">
        <v>170.25999450683599</v>
      </c>
      <c r="B94">
        <v>170.77999877929699</v>
      </c>
      <c r="C94">
        <v>168.82000732421901</v>
      </c>
      <c r="D94">
        <v>167.08999633789099</v>
      </c>
      <c r="E94">
        <v>162.55999755859401</v>
      </c>
      <c r="F94">
        <v>170.42999267578099</v>
      </c>
      <c r="G94">
        <v>172.16000366210901</v>
      </c>
      <c r="H94">
        <v>167.46000671386699</v>
      </c>
      <c r="I94">
        <v>170.30000305175801</v>
      </c>
      <c r="J94">
        <v>168.88999938964801</v>
      </c>
      <c r="K94">
        <v>165.69000244140599</v>
      </c>
      <c r="L94">
        <v>165.39999389648401</v>
      </c>
      <c r="M94">
        <v>174.99000549316401</v>
      </c>
      <c r="N94">
        <v>171.669998168945</v>
      </c>
      <c r="O94">
        <v>170.91000366210901</v>
      </c>
      <c r="P94">
        <v>170.39999389648401</v>
      </c>
      <c r="Q94">
        <v>166.11999511718699</v>
      </c>
      <c r="R94">
        <v>172.27000427246099</v>
      </c>
      <c r="S94">
        <v>169.32000732421901</v>
      </c>
      <c r="T94">
        <v>163.97000122070301</v>
      </c>
    </row>
    <row r="95" spans="1:20" x14ac:dyDescent="0.3">
      <c r="A95">
        <v>169.25999450683599</v>
      </c>
      <c r="B95">
        <v>169.61999511718801</v>
      </c>
      <c r="C95">
        <v>163.919998168945</v>
      </c>
      <c r="D95">
        <v>171.52000427246099</v>
      </c>
      <c r="E95">
        <v>169.99000549316401</v>
      </c>
      <c r="F95">
        <v>167.169998168945</v>
      </c>
      <c r="G95">
        <v>177.14999389648401</v>
      </c>
      <c r="H95">
        <v>172.25999450683599</v>
      </c>
      <c r="I95">
        <v>163.08999633789099</v>
      </c>
      <c r="J95">
        <v>162.47999572753901</v>
      </c>
      <c r="K95">
        <v>165.5</v>
      </c>
      <c r="L95">
        <v>169.50999450683599</v>
      </c>
      <c r="M95">
        <v>174.07000732421901</v>
      </c>
      <c r="N95">
        <v>169.03999328613301</v>
      </c>
      <c r="O95">
        <v>166.49000549316401</v>
      </c>
      <c r="P95">
        <v>168.75999450683599</v>
      </c>
      <c r="Q95">
        <v>164.42999267578099</v>
      </c>
      <c r="R95">
        <v>164.35000610351599</v>
      </c>
      <c r="S95">
        <v>177.60000610351599</v>
      </c>
      <c r="T95">
        <v>167.50999450683599</v>
      </c>
    </row>
    <row r="96" spans="1:20" x14ac:dyDescent="0.3">
      <c r="A96">
        <v>173.36000061035199</v>
      </c>
      <c r="B96">
        <v>173.13999938964801</v>
      </c>
      <c r="C96">
        <v>176.36999511718801</v>
      </c>
      <c r="D96">
        <v>169.02000427246099</v>
      </c>
      <c r="E96">
        <v>163.27999877929699</v>
      </c>
      <c r="F96">
        <v>177.63000488281301</v>
      </c>
      <c r="G96">
        <v>164.75999450683599</v>
      </c>
      <c r="H96">
        <v>167.66000366210901</v>
      </c>
      <c r="I96">
        <v>167.50999450683599</v>
      </c>
      <c r="J96">
        <v>179.80000305175801</v>
      </c>
      <c r="K96">
        <v>170.22000122070301</v>
      </c>
      <c r="L96">
        <v>162.74000549316401</v>
      </c>
      <c r="M96">
        <v>167.57000732421901</v>
      </c>
      <c r="N96">
        <v>165.16000366210901</v>
      </c>
      <c r="O96">
        <v>170.24000549316401</v>
      </c>
      <c r="P96">
        <v>171.75999450683599</v>
      </c>
      <c r="Q96">
        <v>160.92999267578099</v>
      </c>
      <c r="R96">
        <v>171.22000122070301</v>
      </c>
      <c r="S96">
        <v>166.330001831055</v>
      </c>
      <c r="T96">
        <v>168.22000122070301</v>
      </c>
    </row>
    <row r="97" spans="1:20" x14ac:dyDescent="0.3">
      <c r="A97">
        <v>165.77999877929699</v>
      </c>
      <c r="B97">
        <v>168.99000549316401</v>
      </c>
      <c r="C97">
        <v>165.22000122070301</v>
      </c>
      <c r="D97">
        <v>173.03999328613301</v>
      </c>
      <c r="E97">
        <v>169.28999328613301</v>
      </c>
      <c r="F97">
        <v>165.05000305175801</v>
      </c>
      <c r="G97">
        <v>165.669998168945</v>
      </c>
      <c r="H97">
        <v>166.72000122070301</v>
      </c>
      <c r="I97">
        <v>166.05000305175801</v>
      </c>
      <c r="J97">
        <v>167.74000549316401</v>
      </c>
      <c r="K97">
        <v>166.11999511718699</v>
      </c>
      <c r="L97">
        <v>169.78999328613301</v>
      </c>
      <c r="M97">
        <v>177.57000732421901</v>
      </c>
      <c r="N97">
        <v>170.55999755859401</v>
      </c>
      <c r="O97">
        <v>168.080001831055</v>
      </c>
      <c r="P97">
        <v>171.72999572753901</v>
      </c>
      <c r="Q97">
        <v>173.33999633789099</v>
      </c>
      <c r="R97">
        <v>167</v>
      </c>
      <c r="S97">
        <v>177.03999328613301</v>
      </c>
      <c r="T97">
        <v>174.05000305175801</v>
      </c>
    </row>
    <row r="98" spans="1:20" x14ac:dyDescent="0.3">
      <c r="A98">
        <v>171.13000488281301</v>
      </c>
      <c r="B98">
        <v>167.69000244140599</v>
      </c>
      <c r="C98">
        <v>165.88000488281301</v>
      </c>
      <c r="D98">
        <v>174.919998168945</v>
      </c>
      <c r="E98">
        <v>166.25</v>
      </c>
      <c r="F98">
        <v>169.60000610351599</v>
      </c>
      <c r="G98">
        <v>168.919998168945</v>
      </c>
      <c r="H98">
        <v>166.419998168945</v>
      </c>
      <c r="I98">
        <v>170.57000732421901</v>
      </c>
      <c r="J98">
        <v>176.07000732421901</v>
      </c>
      <c r="K98">
        <v>163.88999938964801</v>
      </c>
      <c r="L98">
        <v>169.24000549316401</v>
      </c>
      <c r="M98">
        <v>169.580001831055</v>
      </c>
      <c r="N98">
        <v>172.61000061035199</v>
      </c>
      <c r="O98">
        <v>176.30999755859401</v>
      </c>
      <c r="P98">
        <v>172.88000488281301</v>
      </c>
      <c r="Q98">
        <v>168.77999877929699</v>
      </c>
      <c r="R98">
        <v>168.72000122070301</v>
      </c>
      <c r="S98">
        <v>163.669998168945</v>
      </c>
      <c r="T98">
        <v>166.830001831055</v>
      </c>
    </row>
    <row r="99" spans="1:20" x14ac:dyDescent="0.3">
      <c r="A99">
        <v>165.16000366210901</v>
      </c>
      <c r="B99">
        <v>168.38999938964801</v>
      </c>
      <c r="C99">
        <v>171.94000244140599</v>
      </c>
      <c r="D99">
        <v>177.63000488281301</v>
      </c>
      <c r="E99">
        <v>173.55000305175801</v>
      </c>
      <c r="F99">
        <v>178.05000305175801</v>
      </c>
      <c r="G99">
        <v>179.69999694824199</v>
      </c>
      <c r="H99">
        <v>169.35000610351599</v>
      </c>
      <c r="I99">
        <v>176.07000732421901</v>
      </c>
      <c r="J99">
        <v>167.21000671386699</v>
      </c>
      <c r="K99">
        <v>172.35000610351599</v>
      </c>
      <c r="L99">
        <v>175.330001831055</v>
      </c>
      <c r="M99">
        <v>170.22000122070301</v>
      </c>
      <c r="N99">
        <v>165.38000488281301</v>
      </c>
      <c r="O99">
        <v>171.38000488281301</v>
      </c>
      <c r="P99">
        <v>169.05000305175801</v>
      </c>
      <c r="Q99">
        <v>169.5</v>
      </c>
      <c r="R99">
        <v>170.05000305175801</v>
      </c>
      <c r="S99">
        <v>174.27999877929699</v>
      </c>
      <c r="T99">
        <v>172.03999328613301</v>
      </c>
    </row>
    <row r="100" spans="1:20" x14ac:dyDescent="0.3">
      <c r="A100">
        <v>168.53999328613301</v>
      </c>
      <c r="B100">
        <v>172.66000366210901</v>
      </c>
      <c r="C100">
        <v>172.83999633789099</v>
      </c>
      <c r="D100">
        <v>169.53999328613301</v>
      </c>
      <c r="E100">
        <v>169.47000122070301</v>
      </c>
      <c r="F100">
        <v>169.58999633789099</v>
      </c>
      <c r="G100">
        <v>173.11000061035199</v>
      </c>
      <c r="H100">
        <v>169.5</v>
      </c>
      <c r="I100">
        <v>174.46000671386699</v>
      </c>
      <c r="J100">
        <v>169.96000671386699</v>
      </c>
      <c r="K100">
        <v>180.19999694824199</v>
      </c>
      <c r="L100">
        <v>163.64999389648401</v>
      </c>
      <c r="M100">
        <v>161.02000427246099</v>
      </c>
      <c r="N100">
        <v>167.27000427246099</v>
      </c>
      <c r="O100">
        <v>171.61000061035199</v>
      </c>
      <c r="P100">
        <v>165.5</v>
      </c>
      <c r="Q100">
        <v>158.64999389648401</v>
      </c>
      <c r="R100">
        <v>163.02000427246099</v>
      </c>
      <c r="S100">
        <v>168.830001831055</v>
      </c>
      <c r="T100">
        <v>160.53999328613301</v>
      </c>
    </row>
    <row r="101" spans="1:20" x14ac:dyDescent="0.3">
      <c r="A101">
        <v>176.53999328613301</v>
      </c>
      <c r="B101">
        <v>170.17999267578099</v>
      </c>
      <c r="C101">
        <v>167.69000244140599</v>
      </c>
      <c r="D101">
        <v>166.14999389648401</v>
      </c>
      <c r="E101">
        <v>168.91000366210901</v>
      </c>
      <c r="F101">
        <v>173.52999877929699</v>
      </c>
      <c r="G101">
        <v>163.86999511718801</v>
      </c>
      <c r="H101">
        <v>170.00999450683599</v>
      </c>
      <c r="I101">
        <v>172.27000427246099</v>
      </c>
      <c r="J101">
        <v>177.25999450683599</v>
      </c>
      <c r="K101">
        <v>177.80000305175801</v>
      </c>
      <c r="L101">
        <v>168.99000549316401</v>
      </c>
      <c r="M101">
        <v>176.14999389648401</v>
      </c>
      <c r="N101">
        <v>158.86999511718801</v>
      </c>
      <c r="O101">
        <v>170.99000549316401</v>
      </c>
      <c r="P101">
        <v>176.60000610351599</v>
      </c>
      <c r="Q101">
        <v>174.02000427246099</v>
      </c>
      <c r="R101">
        <v>175.85000610351599</v>
      </c>
      <c r="S101">
        <v>164.92999267578099</v>
      </c>
      <c r="T101">
        <v>166.330001831055</v>
      </c>
    </row>
    <row r="102" spans="1:20" x14ac:dyDescent="0.3">
      <c r="A102">
        <v>172.85000610351599</v>
      </c>
      <c r="B102">
        <v>172.55000305175801</v>
      </c>
      <c r="C102">
        <v>174.99000549316401</v>
      </c>
      <c r="D102">
        <v>171.86999511718801</v>
      </c>
      <c r="E102">
        <v>169.169998168945</v>
      </c>
      <c r="F102">
        <v>163.08999633789099</v>
      </c>
      <c r="G102">
        <v>168.08999633789099</v>
      </c>
      <c r="H102">
        <v>172.88999938964801</v>
      </c>
      <c r="I102">
        <v>164.44000244140599</v>
      </c>
      <c r="J102">
        <v>167.94999694824199</v>
      </c>
      <c r="K102">
        <v>162.88999938964801</v>
      </c>
      <c r="L102">
        <v>166.97000122070301</v>
      </c>
      <c r="M102">
        <v>168.13999938964801</v>
      </c>
      <c r="N102">
        <v>164.63000488281301</v>
      </c>
      <c r="O102">
        <v>164.88000488281301</v>
      </c>
      <c r="P102">
        <v>163.61000061035199</v>
      </c>
      <c r="Q102">
        <v>161.78999328613301</v>
      </c>
      <c r="R102">
        <v>166.61999511718801</v>
      </c>
      <c r="S102">
        <v>175.55999755859401</v>
      </c>
      <c r="T102">
        <v>172.330001831055</v>
      </c>
    </row>
    <row r="103" spans="1:20" x14ac:dyDescent="0.3">
      <c r="A103">
        <v>171.27999877929699</v>
      </c>
      <c r="B103">
        <v>166.97999572753901</v>
      </c>
      <c r="C103">
        <v>170.35000610351599</v>
      </c>
      <c r="D103">
        <v>169.72999572753901</v>
      </c>
      <c r="E103">
        <v>167.71000671386699</v>
      </c>
      <c r="F103">
        <v>169.11000061035199</v>
      </c>
      <c r="G103">
        <v>169.03999328613301</v>
      </c>
      <c r="H103">
        <v>172.80999755859401</v>
      </c>
      <c r="I103">
        <v>168.02000427246099</v>
      </c>
      <c r="J103">
        <v>164.5</v>
      </c>
      <c r="K103">
        <v>166.35000610351599</v>
      </c>
      <c r="L103">
        <v>167.88999938964801</v>
      </c>
      <c r="M103">
        <v>173.71000671386699</v>
      </c>
      <c r="N103">
        <v>166.64999389648401</v>
      </c>
      <c r="O103">
        <v>179.78999328613301</v>
      </c>
      <c r="P103">
        <v>180.47000122070301</v>
      </c>
      <c r="Q103">
        <v>174.27999877929699</v>
      </c>
      <c r="R103">
        <v>169.03999328613301</v>
      </c>
      <c r="S103">
        <v>174.86000061035199</v>
      </c>
      <c r="T103">
        <v>172.05999755859401</v>
      </c>
    </row>
    <row r="104" spans="1:20" x14ac:dyDescent="0.3">
      <c r="A104">
        <v>169.53999328613301</v>
      </c>
      <c r="B104">
        <v>174.08999633789099</v>
      </c>
      <c r="C104">
        <v>168.30999755859401</v>
      </c>
      <c r="D104">
        <v>175.16000366210901</v>
      </c>
      <c r="E104">
        <v>163.85000610351599</v>
      </c>
      <c r="F104">
        <v>177.83999633789099</v>
      </c>
      <c r="G104">
        <v>170.85000610351599</v>
      </c>
      <c r="H104">
        <v>170.82000732421901</v>
      </c>
      <c r="I104">
        <v>171.97999572753901</v>
      </c>
      <c r="J104">
        <v>166.78999328613301</v>
      </c>
      <c r="K104">
        <v>173.94999694824199</v>
      </c>
      <c r="L104">
        <v>174.419998168945</v>
      </c>
      <c r="M104">
        <v>167.42999267578099</v>
      </c>
      <c r="N104">
        <v>166.419998168945</v>
      </c>
      <c r="O104">
        <v>167.11000061035199</v>
      </c>
      <c r="P104">
        <v>171.47000122070301</v>
      </c>
      <c r="Q104">
        <v>167.69000244140599</v>
      </c>
      <c r="R104">
        <v>166.25</v>
      </c>
      <c r="S104">
        <v>163.85000610351599</v>
      </c>
      <c r="T104">
        <v>171.44999694824199</v>
      </c>
    </row>
    <row r="105" spans="1:20" x14ac:dyDescent="0.3">
      <c r="A105">
        <v>166.99000549316401</v>
      </c>
      <c r="B105">
        <v>165.64999389648401</v>
      </c>
      <c r="C105">
        <v>164.02999877929699</v>
      </c>
      <c r="D105">
        <v>161.72999572753901</v>
      </c>
      <c r="E105">
        <v>180.580001831055</v>
      </c>
      <c r="F105">
        <v>164.66000366210901</v>
      </c>
      <c r="G105">
        <v>172.32000732421901</v>
      </c>
      <c r="H105">
        <v>176.13000488281301</v>
      </c>
      <c r="I105">
        <v>170.92999267578099</v>
      </c>
      <c r="J105">
        <v>173.80999755859401</v>
      </c>
      <c r="K105">
        <v>164.10000610351599</v>
      </c>
      <c r="L105">
        <v>163.39999389648401</v>
      </c>
      <c r="M105">
        <v>175.52999877929699</v>
      </c>
      <c r="N105">
        <v>170.580001831055</v>
      </c>
      <c r="O105">
        <v>172.88999938964801</v>
      </c>
      <c r="P105">
        <v>173.05000305175801</v>
      </c>
      <c r="Q105">
        <v>175.88000488281301</v>
      </c>
      <c r="R105">
        <v>172.47999572753901</v>
      </c>
      <c r="S105">
        <v>168.19000244140599</v>
      </c>
      <c r="T105">
        <v>166.580001831055</v>
      </c>
    </row>
    <row r="106" spans="1:20" x14ac:dyDescent="0.3">
      <c r="A106">
        <v>170.36000061035199</v>
      </c>
      <c r="B106">
        <v>170.28999328613301</v>
      </c>
      <c r="C106">
        <v>179.07000732421901</v>
      </c>
      <c r="D106">
        <v>178.89999389648401</v>
      </c>
      <c r="E106">
        <v>166.25999450683599</v>
      </c>
      <c r="F106">
        <v>167.83999633789099</v>
      </c>
      <c r="G106">
        <v>172.61999511718801</v>
      </c>
      <c r="H106">
        <v>171.80000305175801</v>
      </c>
      <c r="I106">
        <v>174.83999633789099</v>
      </c>
      <c r="J106">
        <v>169.46000671386699</v>
      </c>
      <c r="K106">
        <v>169.61999511718801</v>
      </c>
      <c r="L106">
        <v>167.52000427246099</v>
      </c>
      <c r="M106">
        <v>169.61999511718801</v>
      </c>
      <c r="N106">
        <v>168.64999389648401</v>
      </c>
      <c r="O106">
        <v>171.55000305175801</v>
      </c>
      <c r="P106">
        <v>167.55000305175801</v>
      </c>
      <c r="Q106">
        <v>172.08999633789099</v>
      </c>
      <c r="R106">
        <v>170.89999389648401</v>
      </c>
      <c r="S106">
        <v>171.92999267578099</v>
      </c>
      <c r="T106">
        <v>173.38999938964801</v>
      </c>
    </row>
    <row r="107" spans="1:20" x14ac:dyDescent="0.3">
      <c r="A107">
        <v>167.53999328613301</v>
      </c>
      <c r="B107">
        <v>167.30999755859401</v>
      </c>
      <c r="C107">
        <v>171.10000610351599</v>
      </c>
      <c r="D107">
        <v>169.77000427246099</v>
      </c>
      <c r="E107">
        <v>172.38999938964801</v>
      </c>
      <c r="F107">
        <v>170.30000305175801</v>
      </c>
      <c r="G107">
        <v>165.080001831055</v>
      </c>
      <c r="H107">
        <v>176.57000732421901</v>
      </c>
      <c r="I107">
        <v>162.86000061035199</v>
      </c>
      <c r="J107">
        <v>168.28999328613301</v>
      </c>
      <c r="K107">
        <v>175.42999267578099</v>
      </c>
      <c r="L107">
        <v>177.13000488281301</v>
      </c>
      <c r="M107">
        <v>168.47000122070301</v>
      </c>
      <c r="N107">
        <v>166.78999328613301</v>
      </c>
      <c r="O107">
        <v>171.66000366210901</v>
      </c>
      <c r="P107">
        <v>172.94000244140599</v>
      </c>
      <c r="Q107">
        <v>174.69999694824199</v>
      </c>
      <c r="R107">
        <v>163.28999328613301</v>
      </c>
      <c r="S107">
        <v>175.27999877929699</v>
      </c>
      <c r="T107">
        <v>173.50999450683599</v>
      </c>
    </row>
    <row r="108" spans="1:20" x14ac:dyDescent="0.3">
      <c r="A108">
        <v>169.30000305175801</v>
      </c>
      <c r="B108">
        <v>164.38000488281301</v>
      </c>
      <c r="C108">
        <v>163.72999572753901</v>
      </c>
      <c r="D108">
        <v>164.830001831055</v>
      </c>
      <c r="E108">
        <v>175.36999511718801</v>
      </c>
      <c r="F108">
        <v>169.330001831055</v>
      </c>
      <c r="G108">
        <v>162.89999389648401</v>
      </c>
      <c r="H108">
        <v>162.55999755859401</v>
      </c>
      <c r="I108">
        <v>165.00999450683599</v>
      </c>
      <c r="J108">
        <v>169.22000122070301</v>
      </c>
      <c r="K108">
        <v>168.38999938964801</v>
      </c>
      <c r="L108">
        <v>177.97999572753901</v>
      </c>
      <c r="M108">
        <v>171.72000122070301</v>
      </c>
      <c r="N108">
        <v>169.55000305175801</v>
      </c>
      <c r="O108">
        <v>173.69000244140599</v>
      </c>
      <c r="P108">
        <v>172.60000610351599</v>
      </c>
      <c r="Q108">
        <v>168.99000549316401</v>
      </c>
      <c r="R108">
        <v>175.82000732421901</v>
      </c>
      <c r="S108">
        <v>168.30999755859401</v>
      </c>
      <c r="T108">
        <v>175.89999389648401</v>
      </c>
    </row>
    <row r="109" spans="1:20" x14ac:dyDescent="0.3">
      <c r="A109">
        <v>167.05000305175801</v>
      </c>
      <c r="B109">
        <v>183.32000732421901</v>
      </c>
      <c r="C109">
        <v>176.17999267578099</v>
      </c>
      <c r="D109">
        <v>171.71000671386699</v>
      </c>
      <c r="E109">
        <v>174.25</v>
      </c>
      <c r="F109">
        <v>170.38000488281301</v>
      </c>
      <c r="G109">
        <v>168.94000244140599</v>
      </c>
      <c r="H109">
        <v>169.02000427246099</v>
      </c>
      <c r="I109">
        <v>171.94999694824199</v>
      </c>
      <c r="J109">
        <v>173.32000732421901</v>
      </c>
      <c r="K109">
        <v>170.96000671386699</v>
      </c>
      <c r="L109">
        <v>168.96000671386699</v>
      </c>
      <c r="M109">
        <v>173.64999389648401</v>
      </c>
      <c r="N109">
        <v>165.63000488281301</v>
      </c>
      <c r="O109">
        <v>167.72000122070301</v>
      </c>
      <c r="P109">
        <v>173.02000427246099</v>
      </c>
      <c r="Q109">
        <v>172.86000061035199</v>
      </c>
      <c r="R109">
        <v>176.82000732421901</v>
      </c>
      <c r="S109">
        <v>172.75</v>
      </c>
      <c r="T109">
        <v>170.72000122070301</v>
      </c>
    </row>
    <row r="110" spans="1:20" x14ac:dyDescent="0.3">
      <c r="A110">
        <v>174.60000610351599</v>
      </c>
      <c r="B110">
        <v>173.85000610351599</v>
      </c>
      <c r="C110">
        <v>173.05999755859401</v>
      </c>
      <c r="D110">
        <v>164.94000244140599</v>
      </c>
      <c r="E110">
        <v>172.44000244140599</v>
      </c>
      <c r="F110">
        <v>172.78999328613301</v>
      </c>
      <c r="G110">
        <v>169.44000244140599</v>
      </c>
      <c r="H110">
        <v>168.10000610351599</v>
      </c>
      <c r="I110">
        <v>172.72999572753901</v>
      </c>
      <c r="J110">
        <v>173.53999328613301</v>
      </c>
      <c r="K110">
        <v>171</v>
      </c>
      <c r="L110">
        <v>163.82000732421901</v>
      </c>
      <c r="M110">
        <v>168.94999694824199</v>
      </c>
      <c r="N110">
        <v>165.61000061035199</v>
      </c>
      <c r="O110">
        <v>175.25999450683599</v>
      </c>
      <c r="P110">
        <v>165.61000061035199</v>
      </c>
      <c r="Q110">
        <v>170.61999511718801</v>
      </c>
      <c r="R110">
        <v>170.5</v>
      </c>
      <c r="S110">
        <v>167.71000671386699</v>
      </c>
      <c r="T110">
        <v>162.97000122070301</v>
      </c>
    </row>
    <row r="111" spans="1:20" x14ac:dyDescent="0.3">
      <c r="A111">
        <v>173.88999938964801</v>
      </c>
      <c r="B111">
        <v>167.32000732421901</v>
      </c>
      <c r="C111">
        <v>178.13000488281301</v>
      </c>
      <c r="D111">
        <v>171.669998168945</v>
      </c>
      <c r="E111">
        <v>167.52999877929699</v>
      </c>
      <c r="F111">
        <v>167.52999877929699</v>
      </c>
      <c r="G111">
        <v>175.77000427246099</v>
      </c>
      <c r="H111">
        <v>174.580001831055</v>
      </c>
      <c r="I111">
        <v>172.55000305175801</v>
      </c>
      <c r="J111">
        <v>172.5</v>
      </c>
      <c r="K111">
        <v>171.53999328613301</v>
      </c>
      <c r="L111">
        <v>168.99000549316401</v>
      </c>
      <c r="M111">
        <v>170.44000244140599</v>
      </c>
      <c r="N111">
        <v>171.72999572753901</v>
      </c>
      <c r="O111">
        <v>170.94000244140599</v>
      </c>
      <c r="P111">
        <v>172.41000366210901</v>
      </c>
      <c r="Q111">
        <v>166.72000122070301</v>
      </c>
      <c r="R111">
        <v>170.71000671386699</v>
      </c>
      <c r="S111">
        <v>171.47000122070301</v>
      </c>
      <c r="T111">
        <v>162.32000732421901</v>
      </c>
    </row>
    <row r="112" spans="1:20" x14ac:dyDescent="0.3">
      <c r="A112">
        <v>168.75999450683599</v>
      </c>
      <c r="B112">
        <v>170.44999694824199</v>
      </c>
      <c r="C112">
        <v>172.03999328613301</v>
      </c>
      <c r="D112">
        <v>169.47000122070301</v>
      </c>
      <c r="E112">
        <v>168.96000671386699</v>
      </c>
      <c r="F112">
        <v>166.97000122070301</v>
      </c>
      <c r="G112">
        <v>174.22000122070301</v>
      </c>
      <c r="H112">
        <v>167.64999389648401</v>
      </c>
      <c r="I112">
        <v>174.49000549316401</v>
      </c>
      <c r="J112">
        <v>168.19000244140599</v>
      </c>
      <c r="K112">
        <v>172.46000671386699</v>
      </c>
      <c r="L112">
        <v>169.27000427246099</v>
      </c>
      <c r="M112">
        <v>170.830001831055</v>
      </c>
      <c r="N112">
        <v>175.58999633789099</v>
      </c>
      <c r="O112">
        <v>168.27000427246099</v>
      </c>
      <c r="P112">
        <v>167.830001831055</v>
      </c>
      <c r="Q112">
        <v>167.47999572753901</v>
      </c>
      <c r="R112">
        <v>174.67999267578099</v>
      </c>
      <c r="S112">
        <v>171.14999389648401</v>
      </c>
      <c r="T112">
        <v>172.83999633789099</v>
      </c>
    </row>
    <row r="113" spans="1:20" x14ac:dyDescent="0.3">
      <c r="A113">
        <v>174.669998168945</v>
      </c>
      <c r="B113">
        <v>171.14999389648401</v>
      </c>
      <c r="C113">
        <v>166.07000732421901</v>
      </c>
      <c r="D113">
        <v>168.02999877929699</v>
      </c>
      <c r="E113">
        <v>167.85000610351599</v>
      </c>
      <c r="F113">
        <v>170.61999511718801</v>
      </c>
      <c r="G113">
        <v>171.69000244140599</v>
      </c>
      <c r="H113">
        <v>172.61999511718801</v>
      </c>
      <c r="I113">
        <v>173.27999877929699</v>
      </c>
      <c r="J113">
        <v>163.72000122070301</v>
      </c>
      <c r="K113">
        <v>168.30000305175801</v>
      </c>
      <c r="L113">
        <v>173.60000610351599</v>
      </c>
      <c r="M113">
        <v>168.46000671386699</v>
      </c>
      <c r="N113">
        <v>167.94999694824199</v>
      </c>
      <c r="O113">
        <v>177.42999267578099</v>
      </c>
      <c r="P113">
        <v>168.46000671386699</v>
      </c>
      <c r="Q113">
        <v>166.88999938964801</v>
      </c>
      <c r="R113">
        <v>164.80999755859401</v>
      </c>
      <c r="S113">
        <v>172.55000305175801</v>
      </c>
      <c r="T113">
        <v>174.69999694824199</v>
      </c>
    </row>
    <row r="114" spans="1:20" x14ac:dyDescent="0.3">
      <c r="A114">
        <v>164.50999450683599</v>
      </c>
      <c r="B114">
        <v>168.169998168945</v>
      </c>
      <c r="C114">
        <v>167.91000366210901</v>
      </c>
      <c r="D114">
        <v>174.919998168945</v>
      </c>
      <c r="E114">
        <v>178.669998168945</v>
      </c>
      <c r="F114">
        <v>162.86999511718801</v>
      </c>
      <c r="G114">
        <v>165.47999572753901</v>
      </c>
      <c r="H114">
        <v>166.71000671386699</v>
      </c>
      <c r="I114">
        <v>169.02999877929699</v>
      </c>
      <c r="J114">
        <v>169.13999938964801</v>
      </c>
      <c r="K114">
        <v>162</v>
      </c>
      <c r="L114">
        <v>164.82000732421901</v>
      </c>
      <c r="M114">
        <v>169.080001831055</v>
      </c>
      <c r="N114">
        <v>172.47000122070301</v>
      </c>
      <c r="O114">
        <v>170.94999694824199</v>
      </c>
      <c r="P114">
        <v>170.75</v>
      </c>
      <c r="Q114">
        <v>172.32000732421901</v>
      </c>
      <c r="R114">
        <v>174.36000061035199</v>
      </c>
      <c r="S114">
        <v>165.85000610351599</v>
      </c>
      <c r="T114">
        <v>165.99000549316401</v>
      </c>
    </row>
    <row r="115" spans="1:20" x14ac:dyDescent="0.3">
      <c r="A115">
        <v>170.27000427246099</v>
      </c>
      <c r="B115">
        <v>164.94000244140599</v>
      </c>
      <c r="C115">
        <v>163.36999511718801</v>
      </c>
      <c r="D115">
        <v>169.38000488281301</v>
      </c>
      <c r="E115">
        <v>165.07000732421901</v>
      </c>
      <c r="F115">
        <v>170.75999450683599</v>
      </c>
      <c r="G115">
        <v>169.05000305175801</v>
      </c>
      <c r="H115">
        <v>168.77000427246099</v>
      </c>
      <c r="I115">
        <v>173</v>
      </c>
      <c r="J115">
        <v>167.08999633789099</v>
      </c>
      <c r="K115">
        <v>162.61000061035199</v>
      </c>
      <c r="L115">
        <v>177.41000366210901</v>
      </c>
      <c r="M115">
        <v>167.55999755859401</v>
      </c>
      <c r="N115">
        <v>171.419998168945</v>
      </c>
      <c r="O115">
        <v>173.55000305175801</v>
      </c>
      <c r="P115">
        <v>164.80000305175801</v>
      </c>
      <c r="Q115">
        <v>174.25999450683599</v>
      </c>
      <c r="R115">
        <v>169.25</v>
      </c>
      <c r="S115">
        <v>175.36999511718801</v>
      </c>
      <c r="T115">
        <v>172.44999694824199</v>
      </c>
    </row>
    <row r="116" spans="1:20" x14ac:dyDescent="0.3">
      <c r="A116">
        <v>168.85000610351599</v>
      </c>
      <c r="B116">
        <v>167.25999450683599</v>
      </c>
      <c r="C116">
        <v>174.16000366210901</v>
      </c>
      <c r="D116">
        <v>172.02999877929699</v>
      </c>
      <c r="E116">
        <v>165.55999755859401</v>
      </c>
      <c r="F116">
        <v>165.72000122070301</v>
      </c>
      <c r="G116">
        <v>173.72999572753901</v>
      </c>
      <c r="H116">
        <v>169.02999877929699</v>
      </c>
      <c r="I116">
        <v>169.35000610351599</v>
      </c>
      <c r="J116">
        <v>170.63000488281301</v>
      </c>
      <c r="K116">
        <v>171.11000061035199</v>
      </c>
      <c r="L116">
        <v>171.22000122070301</v>
      </c>
      <c r="M116">
        <v>169.69999694824199</v>
      </c>
      <c r="N116">
        <v>171.47999572753901</v>
      </c>
      <c r="O116">
        <v>175.80000305175801</v>
      </c>
      <c r="P116">
        <v>168.11000061035199</v>
      </c>
      <c r="Q116">
        <v>172.11000061035199</v>
      </c>
      <c r="R116">
        <v>169.77999877929699</v>
      </c>
      <c r="S116">
        <v>165.30999755859401</v>
      </c>
      <c r="T116">
        <v>177.17999267578099</v>
      </c>
    </row>
    <row r="117" spans="1:20" x14ac:dyDescent="0.3">
      <c r="A117">
        <v>167.78999328613301</v>
      </c>
      <c r="B117">
        <v>169.05999755859401</v>
      </c>
      <c r="C117">
        <v>175.63999938964801</v>
      </c>
      <c r="D117">
        <v>170.61000061035199</v>
      </c>
      <c r="E117">
        <v>171.30999755859401</v>
      </c>
      <c r="F117">
        <v>165.330001831055</v>
      </c>
      <c r="G117">
        <v>174.49000549316401</v>
      </c>
      <c r="H117">
        <v>166.88000488281301</v>
      </c>
      <c r="I117">
        <v>168.85000610351599</v>
      </c>
      <c r="J117">
        <v>172.97000122070301</v>
      </c>
      <c r="K117">
        <v>166.080001831055</v>
      </c>
      <c r="L117">
        <v>169.27000427246099</v>
      </c>
      <c r="M117">
        <v>177.88000488281301</v>
      </c>
      <c r="N117">
        <v>169.49000549316401</v>
      </c>
      <c r="O117">
        <v>171.92999267578099</v>
      </c>
      <c r="P117">
        <v>171.30000305175801</v>
      </c>
      <c r="Q117">
        <v>171.919998168945</v>
      </c>
      <c r="R117">
        <v>176.38999938964801</v>
      </c>
      <c r="S117">
        <v>169.53999328613301</v>
      </c>
      <c r="T117">
        <v>166.44999694824199</v>
      </c>
    </row>
    <row r="118" spans="1:20" x14ac:dyDescent="0.3">
      <c r="A118">
        <v>167.00999450683599</v>
      </c>
      <c r="B118">
        <v>170.19000244140599</v>
      </c>
      <c r="C118">
        <v>166.55000305175801</v>
      </c>
      <c r="D118">
        <v>169.78999328613301</v>
      </c>
      <c r="E118">
        <v>163.88000488281199</v>
      </c>
      <c r="F118">
        <v>171.02000427246099</v>
      </c>
      <c r="G118">
        <v>171.69000244140599</v>
      </c>
      <c r="H118">
        <v>172.58999633789099</v>
      </c>
      <c r="I118">
        <v>166.67999267578099</v>
      </c>
      <c r="J118">
        <v>169.169998168945</v>
      </c>
      <c r="K118">
        <v>169.52999877929699</v>
      </c>
      <c r="L118">
        <v>167.46000671386699</v>
      </c>
      <c r="M118">
        <v>172.92999267578099</v>
      </c>
      <c r="N118">
        <v>174.13999938964801</v>
      </c>
      <c r="O118">
        <v>169.55999755859401</v>
      </c>
      <c r="P118">
        <v>179.89999389648401</v>
      </c>
      <c r="Q118">
        <v>180.11000061035199</v>
      </c>
      <c r="R118">
        <v>167.419998168945</v>
      </c>
      <c r="S118">
        <v>173.27999877929699</v>
      </c>
      <c r="T118">
        <v>175.39999389648401</v>
      </c>
    </row>
    <row r="119" spans="1:20" x14ac:dyDescent="0.3">
      <c r="A119">
        <v>176.60000610351599</v>
      </c>
      <c r="B119">
        <v>170.11999511718801</v>
      </c>
      <c r="C119">
        <v>170.75999450683599</v>
      </c>
      <c r="D119">
        <v>168.83999633789099</v>
      </c>
      <c r="E119">
        <v>168.94999694824199</v>
      </c>
      <c r="F119">
        <v>165.919998168945</v>
      </c>
      <c r="G119">
        <v>168.86000061035199</v>
      </c>
      <c r="H119">
        <v>169.080001831055</v>
      </c>
      <c r="I119">
        <v>172.169998168945</v>
      </c>
      <c r="J119">
        <v>169.97999572753901</v>
      </c>
      <c r="K119">
        <v>168.580001831055</v>
      </c>
      <c r="L119">
        <v>172.32000732421901</v>
      </c>
      <c r="M119">
        <v>171.77000427246099</v>
      </c>
      <c r="N119">
        <v>171.77999877929699</v>
      </c>
      <c r="O119">
        <v>167.44000244140599</v>
      </c>
      <c r="P119">
        <v>164.05999755859401</v>
      </c>
      <c r="Q119">
        <v>177.25999450683599</v>
      </c>
      <c r="R119">
        <v>164.85000610351599</v>
      </c>
      <c r="S119">
        <v>178.919998168945</v>
      </c>
      <c r="T119">
        <v>165.82000732421901</v>
      </c>
    </row>
    <row r="120" spans="1:20" x14ac:dyDescent="0.3">
      <c r="A120">
        <v>170.50999450683599</v>
      </c>
      <c r="B120">
        <v>165.72000122070301</v>
      </c>
      <c r="C120">
        <v>171.05000305175801</v>
      </c>
      <c r="D120">
        <v>175.44000244140599</v>
      </c>
      <c r="E120">
        <v>174.11000061035199</v>
      </c>
      <c r="F120">
        <v>176.50999450683599</v>
      </c>
      <c r="G120">
        <v>170.36999511718801</v>
      </c>
      <c r="H120">
        <v>169.63999938964801</v>
      </c>
      <c r="I120">
        <v>170.52999877929699</v>
      </c>
      <c r="J120">
        <v>167.5</v>
      </c>
      <c r="K120">
        <v>169.25999450683599</v>
      </c>
      <c r="L120">
        <v>166.77999877929699</v>
      </c>
      <c r="M120">
        <v>173.25999450683599</v>
      </c>
      <c r="N120">
        <v>168.169998168945</v>
      </c>
      <c r="O120">
        <v>169.21000671386699</v>
      </c>
      <c r="P120">
        <v>168.36000061035199</v>
      </c>
      <c r="Q120">
        <v>167.80999755859401</v>
      </c>
      <c r="R120">
        <v>172.02999877929699</v>
      </c>
      <c r="S120">
        <v>171.74000549316401</v>
      </c>
      <c r="T120">
        <v>163.88000488281199</v>
      </c>
    </row>
    <row r="121" spans="1:20" x14ac:dyDescent="0.3">
      <c r="A121">
        <v>168.330001831055</v>
      </c>
      <c r="B121">
        <v>177</v>
      </c>
      <c r="C121">
        <v>166.830001831055</v>
      </c>
      <c r="D121">
        <v>171.419998168945</v>
      </c>
      <c r="E121">
        <v>170.58999633789099</v>
      </c>
      <c r="F121">
        <v>166.42999267578099</v>
      </c>
      <c r="G121">
        <v>163.27999877929699</v>
      </c>
      <c r="H121">
        <v>163.72000122070301</v>
      </c>
      <c r="I121">
        <v>176.60000610351599</v>
      </c>
      <c r="J121">
        <v>168.99000549316401</v>
      </c>
      <c r="K121">
        <v>162.22999572753901</v>
      </c>
      <c r="L121">
        <v>167.91000366210901</v>
      </c>
      <c r="M121">
        <v>171.86000061035199</v>
      </c>
      <c r="N121">
        <v>170.169998168945</v>
      </c>
      <c r="O121">
        <v>169.17999267578099</v>
      </c>
      <c r="P121">
        <v>169.47000122070301</v>
      </c>
      <c r="Q121">
        <v>169.88000488281301</v>
      </c>
      <c r="R121">
        <v>175.49000549316401</v>
      </c>
      <c r="S121">
        <v>173.63999938964801</v>
      </c>
      <c r="T121">
        <v>169.91000366210901</v>
      </c>
    </row>
    <row r="122" spans="1:20" x14ac:dyDescent="0.3">
      <c r="A122">
        <v>173.05999755859401</v>
      </c>
      <c r="B122">
        <v>172.83999633789099</v>
      </c>
      <c r="C122">
        <v>171.91000366210901</v>
      </c>
      <c r="D122">
        <v>170.47999572753901</v>
      </c>
      <c r="E122">
        <v>167</v>
      </c>
      <c r="F122">
        <v>174.19000244140599</v>
      </c>
      <c r="G122">
        <v>175</v>
      </c>
      <c r="H122">
        <v>170.66000366210901</v>
      </c>
      <c r="I122">
        <v>160.61999511718801</v>
      </c>
      <c r="J122">
        <v>166.58999633789099</v>
      </c>
      <c r="K122">
        <v>176.53999328613301</v>
      </c>
      <c r="L122">
        <v>164.669998168945</v>
      </c>
      <c r="M122">
        <v>171.44000244140599</v>
      </c>
      <c r="N122">
        <v>167.57000732421901</v>
      </c>
      <c r="O122">
        <v>178.00999450683599</v>
      </c>
      <c r="P122">
        <v>177.99000549316401</v>
      </c>
      <c r="Q122">
        <v>168.94999694824199</v>
      </c>
      <c r="R122">
        <v>170.61000061035199</v>
      </c>
      <c r="S122">
        <v>172.92999267578099</v>
      </c>
      <c r="T122">
        <v>172.11999511718801</v>
      </c>
    </row>
    <row r="123" spans="1:20" x14ac:dyDescent="0.3">
      <c r="A123">
        <v>180.83999633789099</v>
      </c>
      <c r="B123">
        <v>164.80000305175801</v>
      </c>
      <c r="C123">
        <v>164.22999572753901</v>
      </c>
      <c r="D123">
        <v>171.97000122070301</v>
      </c>
      <c r="E123">
        <v>167.10000610351599</v>
      </c>
      <c r="F123">
        <v>166.94999694824199</v>
      </c>
      <c r="G123">
        <v>167.11999511718801</v>
      </c>
      <c r="H123">
        <v>173.44000244140599</v>
      </c>
      <c r="I123">
        <v>161.99000549316401</v>
      </c>
      <c r="J123">
        <v>175.11000061035199</v>
      </c>
      <c r="K123">
        <v>165.38999938964801</v>
      </c>
      <c r="L123">
        <v>171.66000366210901</v>
      </c>
      <c r="M123">
        <v>163.00999450683599</v>
      </c>
      <c r="N123">
        <v>162.77000427246099</v>
      </c>
      <c r="O123">
        <v>160.52999877929699</v>
      </c>
      <c r="P123">
        <v>168.13000488281301</v>
      </c>
      <c r="Q123">
        <v>171.66000366210901</v>
      </c>
      <c r="R123">
        <v>167.44000244140599</v>
      </c>
      <c r="S123">
        <v>170.05999755859401</v>
      </c>
      <c r="T123">
        <v>172.36000061035199</v>
      </c>
    </row>
    <row r="124" spans="1:20" x14ac:dyDescent="0.3">
      <c r="A124">
        <v>162.67999267578099</v>
      </c>
      <c r="B124">
        <v>172.78999328613301</v>
      </c>
      <c r="C124">
        <v>167.63000488281301</v>
      </c>
      <c r="D124">
        <v>174.63999938964801</v>
      </c>
      <c r="E124">
        <v>171.53999328613301</v>
      </c>
      <c r="F124">
        <v>174.27999877929699</v>
      </c>
      <c r="G124">
        <v>169.08999633789099</v>
      </c>
      <c r="H124">
        <v>176.41000366210901</v>
      </c>
      <c r="I124">
        <v>166.96000671386699</v>
      </c>
      <c r="J124">
        <v>173.71000671386699</v>
      </c>
      <c r="K124">
        <v>167.86000061035199</v>
      </c>
      <c r="L124">
        <v>166.86999511718801</v>
      </c>
      <c r="M124">
        <v>166.46000671386699</v>
      </c>
      <c r="N124">
        <v>168.580001831055</v>
      </c>
      <c r="O124">
        <v>165.44999694824199</v>
      </c>
      <c r="P124">
        <v>167.52999877929699</v>
      </c>
      <c r="Q124">
        <v>171.52000427246099</v>
      </c>
      <c r="R124">
        <v>168.38999938964801</v>
      </c>
      <c r="S124">
        <v>163.36000061035199</v>
      </c>
      <c r="T124">
        <v>167.86999511718801</v>
      </c>
    </row>
    <row r="125" spans="1:20" x14ac:dyDescent="0.3">
      <c r="A125">
        <v>170.24000549316401</v>
      </c>
      <c r="B125">
        <v>166.89999389648401</v>
      </c>
      <c r="C125">
        <v>169.580001831055</v>
      </c>
      <c r="D125">
        <v>170.36999511718801</v>
      </c>
      <c r="E125">
        <v>171.60000610351599</v>
      </c>
      <c r="F125">
        <v>177.86999511718801</v>
      </c>
      <c r="G125">
        <v>180</v>
      </c>
      <c r="H125">
        <v>163.08999633789099</v>
      </c>
      <c r="I125">
        <v>170.46000671386699</v>
      </c>
      <c r="J125">
        <v>167.72000122070301</v>
      </c>
      <c r="K125">
        <v>162.67999267578099</v>
      </c>
      <c r="L125">
        <v>165.44000244140599</v>
      </c>
      <c r="M125">
        <v>172.330001831055</v>
      </c>
      <c r="N125">
        <v>169.94000244140599</v>
      </c>
      <c r="O125">
        <v>175.11000061035199</v>
      </c>
      <c r="P125">
        <v>170.919998168945</v>
      </c>
      <c r="Q125">
        <v>166.69999694824199</v>
      </c>
      <c r="R125">
        <v>162.05000305175801</v>
      </c>
      <c r="S125">
        <v>166.80000305175801</v>
      </c>
      <c r="T125">
        <v>173.02999877929699</v>
      </c>
    </row>
    <row r="126" spans="1:20" x14ac:dyDescent="0.3">
      <c r="A126">
        <v>169.58999633789099</v>
      </c>
      <c r="B126">
        <v>169.07000732421901</v>
      </c>
      <c r="C126">
        <v>166.94000244140599</v>
      </c>
      <c r="D126">
        <v>177.919998168945</v>
      </c>
      <c r="E126">
        <v>170.97000122070301</v>
      </c>
      <c r="F126">
        <v>177.28999328613301</v>
      </c>
      <c r="G126">
        <v>166.36000061035199</v>
      </c>
      <c r="H126">
        <v>169.86999511718801</v>
      </c>
      <c r="I126">
        <v>165.78999328613301</v>
      </c>
      <c r="J126">
        <v>166.33999633789099</v>
      </c>
      <c r="K126">
        <v>173.96000671386699</v>
      </c>
      <c r="L126">
        <v>177.38000488281301</v>
      </c>
      <c r="M126">
        <v>163.55999755859401</v>
      </c>
      <c r="N126">
        <v>173.69999694824199</v>
      </c>
      <c r="O126">
        <v>167.25999450683599</v>
      </c>
      <c r="P126">
        <v>173.96000671386699</v>
      </c>
      <c r="Q126">
        <v>169.75999450683599</v>
      </c>
      <c r="R126">
        <v>168.86999511718801</v>
      </c>
      <c r="S126">
        <v>167.75</v>
      </c>
      <c r="T126">
        <v>177.11000061035199</v>
      </c>
    </row>
    <row r="127" spans="1:20" x14ac:dyDescent="0.3">
      <c r="A127">
        <v>174.91000366210901</v>
      </c>
      <c r="B127">
        <v>162.91000366210901</v>
      </c>
      <c r="C127">
        <v>179.72999572753901</v>
      </c>
      <c r="D127">
        <v>168.72000122070301</v>
      </c>
      <c r="E127">
        <v>167.46000671386699</v>
      </c>
      <c r="F127">
        <v>167.78999328613301</v>
      </c>
      <c r="G127">
        <v>175.78999328613301</v>
      </c>
      <c r="H127">
        <v>167.78999328613301</v>
      </c>
      <c r="I127">
        <v>170.38999938964801</v>
      </c>
      <c r="J127">
        <v>164.419998168945</v>
      </c>
      <c r="K127">
        <v>176.97000122070301</v>
      </c>
      <c r="L127">
        <v>165.36999511718801</v>
      </c>
      <c r="M127">
        <v>165.19999694824199</v>
      </c>
      <c r="N127">
        <v>174.30999755859401</v>
      </c>
      <c r="O127">
        <v>172.77999877929699</v>
      </c>
      <c r="P127">
        <v>166.94999694824199</v>
      </c>
      <c r="Q127">
        <v>169.38999938964801</v>
      </c>
      <c r="R127">
        <v>174.96000671386699</v>
      </c>
      <c r="S127">
        <v>172.72000122070301</v>
      </c>
      <c r="T127">
        <v>166.02999877929699</v>
      </c>
    </row>
    <row r="128" spans="1:20" x14ac:dyDescent="0.3">
      <c r="A128">
        <v>174.28999328613301</v>
      </c>
      <c r="B128">
        <v>171.41000366210901</v>
      </c>
      <c r="C128">
        <v>176.83999633789099</v>
      </c>
      <c r="D128">
        <v>168.57000732421901</v>
      </c>
      <c r="E128">
        <v>166.78999328613301</v>
      </c>
      <c r="F128">
        <v>173.96000671386699</v>
      </c>
      <c r="G128">
        <v>162.80999755859401</v>
      </c>
      <c r="H128">
        <v>172.28999328613301</v>
      </c>
      <c r="I128">
        <v>171.60000610351599</v>
      </c>
      <c r="J128">
        <v>168.22000122070301</v>
      </c>
      <c r="K128">
        <v>175.83999633789099</v>
      </c>
      <c r="L128">
        <v>166.44000244140599</v>
      </c>
      <c r="M128">
        <v>166.22999572753901</v>
      </c>
      <c r="N128">
        <v>171.66000366210901</v>
      </c>
      <c r="O128">
        <v>173.44000244140599</v>
      </c>
      <c r="P128">
        <v>168.55000305175801</v>
      </c>
      <c r="Q128">
        <v>172.169998168945</v>
      </c>
      <c r="R128">
        <v>161.78999328613301</v>
      </c>
      <c r="S128">
        <v>169.11000061035199</v>
      </c>
      <c r="T128">
        <v>172.08999633789099</v>
      </c>
    </row>
    <row r="129" spans="1:20" x14ac:dyDescent="0.3">
      <c r="A129">
        <v>163.46000671386699</v>
      </c>
      <c r="B129">
        <v>174.69999694824199</v>
      </c>
      <c r="C129">
        <v>169.80999755859401</v>
      </c>
      <c r="D129">
        <v>167.39999389648401</v>
      </c>
      <c r="E129">
        <v>168.30000305175801</v>
      </c>
      <c r="F129">
        <v>171.580001831055</v>
      </c>
      <c r="G129">
        <v>166.58999633789099</v>
      </c>
      <c r="H129">
        <v>164.919998168945</v>
      </c>
      <c r="I129">
        <v>176.38999938964801</v>
      </c>
      <c r="J129">
        <v>165.10000610351599</v>
      </c>
      <c r="K129">
        <v>169.36999511718801</v>
      </c>
      <c r="L129">
        <v>169.80999755859401</v>
      </c>
      <c r="M129">
        <v>169.24000549316401</v>
      </c>
      <c r="N129">
        <v>164.74000549316401</v>
      </c>
      <c r="O129">
        <v>171.66000366210901</v>
      </c>
      <c r="P129">
        <v>167.580001831055</v>
      </c>
      <c r="Q129">
        <v>172.33999633789099</v>
      </c>
      <c r="R129">
        <v>172.00999450683599</v>
      </c>
      <c r="S129">
        <v>170.94999694824199</v>
      </c>
      <c r="T129">
        <v>171.72999572753901</v>
      </c>
    </row>
    <row r="130" spans="1:20" x14ac:dyDescent="0.3">
      <c r="A130">
        <v>171.52999877929699</v>
      </c>
      <c r="B130">
        <v>171.80000305175801</v>
      </c>
      <c r="C130">
        <v>174.580001831055</v>
      </c>
      <c r="D130">
        <v>165.07000732421901</v>
      </c>
      <c r="E130">
        <v>162.72999572753901</v>
      </c>
      <c r="F130">
        <v>177.28999328613301</v>
      </c>
      <c r="G130">
        <v>168.69000244140599</v>
      </c>
      <c r="H130">
        <v>167.14999389648401</v>
      </c>
      <c r="I130">
        <v>173.13000488281301</v>
      </c>
      <c r="J130">
        <v>173.33999633789099</v>
      </c>
      <c r="K130">
        <v>164.74000549316401</v>
      </c>
      <c r="L130">
        <v>174.55000305175801</v>
      </c>
      <c r="M130">
        <v>172.21000671386699</v>
      </c>
      <c r="N130">
        <v>169.46000671386699</v>
      </c>
      <c r="O130">
        <v>172.24000549316401</v>
      </c>
      <c r="P130">
        <v>164.75999450683599</v>
      </c>
      <c r="Q130">
        <v>173.49000549316401</v>
      </c>
      <c r="R130">
        <v>167.13999938964801</v>
      </c>
      <c r="S130">
        <v>168.669998168945</v>
      </c>
      <c r="T130">
        <v>171.28999328613301</v>
      </c>
    </row>
    <row r="131" spans="1:20" x14ac:dyDescent="0.3">
      <c r="A131">
        <v>174.75999450683599</v>
      </c>
      <c r="B131">
        <v>174.38000488281301</v>
      </c>
      <c r="C131">
        <v>169.19000244140599</v>
      </c>
      <c r="D131">
        <v>173.02999877929699</v>
      </c>
      <c r="E131">
        <v>165.97000122070301</v>
      </c>
      <c r="F131">
        <v>170.36999511718801</v>
      </c>
      <c r="G131">
        <v>166.78999328613301</v>
      </c>
      <c r="H131">
        <v>174.080001831055</v>
      </c>
      <c r="I131">
        <v>173.32000732421901</v>
      </c>
      <c r="J131">
        <v>171.85000610351599</v>
      </c>
      <c r="K131">
        <v>171.25999450683599</v>
      </c>
      <c r="L131">
        <v>167.38000488281301</v>
      </c>
      <c r="M131">
        <v>170.30000305175801</v>
      </c>
      <c r="N131">
        <v>168.35000610351599</v>
      </c>
      <c r="O131">
        <v>168.11999511718801</v>
      </c>
      <c r="P131">
        <v>174.44000244140599</v>
      </c>
      <c r="Q131">
        <v>166.39999389648401</v>
      </c>
      <c r="R131">
        <v>173.33999633789099</v>
      </c>
      <c r="S131">
        <v>166.85000610351599</v>
      </c>
      <c r="T131">
        <v>164.75</v>
      </c>
    </row>
    <row r="132" spans="1:20" x14ac:dyDescent="0.3">
      <c r="A132">
        <v>166.28999328613301</v>
      </c>
      <c r="B132">
        <v>172.49000549316401</v>
      </c>
      <c r="C132">
        <v>167.63000488281301</v>
      </c>
      <c r="D132">
        <v>172.16000366210901</v>
      </c>
      <c r="E132">
        <v>172.80000305175801</v>
      </c>
      <c r="F132">
        <v>166.5</v>
      </c>
      <c r="G132">
        <v>172.47999572753901</v>
      </c>
      <c r="H132">
        <v>168.19999694824199</v>
      </c>
      <c r="I132">
        <v>169.36999511718801</v>
      </c>
      <c r="J132">
        <v>169.94999694824199</v>
      </c>
      <c r="K132">
        <v>170.14999389648401</v>
      </c>
      <c r="L132">
        <v>168.42999267578099</v>
      </c>
      <c r="M132">
        <v>165.50999450683599</v>
      </c>
      <c r="N132">
        <v>168.33999633789099</v>
      </c>
      <c r="O132">
        <v>170.13000488281199</v>
      </c>
      <c r="P132">
        <v>174.35000610351599</v>
      </c>
      <c r="Q132">
        <v>166.71000671386699</v>
      </c>
      <c r="R132">
        <v>171.169998168945</v>
      </c>
      <c r="S132">
        <v>165.92999267578099</v>
      </c>
      <c r="T132">
        <v>167.47000122070301</v>
      </c>
    </row>
    <row r="133" spans="1:20" x14ac:dyDescent="0.3">
      <c r="A133">
        <v>169.919998168945</v>
      </c>
      <c r="B133">
        <v>168.330001831055</v>
      </c>
      <c r="C133">
        <v>169.47999572753901</v>
      </c>
      <c r="D133">
        <v>170.47000122070301</v>
      </c>
      <c r="E133">
        <v>166.61000061035199</v>
      </c>
      <c r="F133">
        <v>167.50999450683599</v>
      </c>
      <c r="G133">
        <v>172.99000549316401</v>
      </c>
      <c r="H133">
        <v>169.13999938964801</v>
      </c>
      <c r="I133">
        <v>180.30999755859401</v>
      </c>
      <c r="J133">
        <v>173.05999755859401</v>
      </c>
      <c r="K133">
        <v>176.25</v>
      </c>
      <c r="L133">
        <v>168.94999694824199</v>
      </c>
      <c r="M133">
        <v>172.50999450683599</v>
      </c>
      <c r="N133">
        <v>170.5</v>
      </c>
      <c r="O133">
        <v>172.75999450683599</v>
      </c>
      <c r="P133">
        <v>167.38999938964801</v>
      </c>
      <c r="Q133">
        <v>164.71000671386699</v>
      </c>
      <c r="R133">
        <v>173.30999755859401</v>
      </c>
      <c r="S133">
        <v>168.02999877929699</v>
      </c>
      <c r="T133">
        <v>165.96000671386699</v>
      </c>
    </row>
    <row r="134" spans="1:20" x14ac:dyDescent="0.3">
      <c r="A134">
        <v>169.82000732421901</v>
      </c>
      <c r="B134">
        <v>173.97999572753901</v>
      </c>
      <c r="C134">
        <v>165.75</v>
      </c>
      <c r="D134">
        <v>172.83999633789099</v>
      </c>
      <c r="E134">
        <v>173.22000122070301</v>
      </c>
      <c r="F134">
        <v>175.10000610351599</v>
      </c>
      <c r="G134">
        <v>172.92999267578099</v>
      </c>
      <c r="H134">
        <v>167.42999267578099</v>
      </c>
      <c r="I134">
        <v>165.57000732421901</v>
      </c>
      <c r="J134">
        <v>172.53999328613301</v>
      </c>
      <c r="K134">
        <v>163.80999755859401</v>
      </c>
      <c r="L134">
        <v>169.08999633789099</v>
      </c>
      <c r="M134">
        <v>168.35000610351599</v>
      </c>
      <c r="N134">
        <v>167.78999328613301</v>
      </c>
      <c r="O134">
        <v>171.88000488281301</v>
      </c>
      <c r="P134">
        <v>167.32000732421901</v>
      </c>
      <c r="Q134">
        <v>175.080001831055</v>
      </c>
      <c r="R134">
        <v>178.36000061035199</v>
      </c>
      <c r="S134">
        <v>162.63000488281301</v>
      </c>
      <c r="T134">
        <v>163.61000061035199</v>
      </c>
    </row>
    <row r="135" spans="1:20" x14ac:dyDescent="0.3">
      <c r="A135">
        <v>172.32000732421901</v>
      </c>
      <c r="B135">
        <v>173.16000366210901</v>
      </c>
      <c r="C135">
        <v>176.55000305175801</v>
      </c>
      <c r="D135">
        <v>170.830001831055</v>
      </c>
      <c r="E135">
        <v>162.57000732421901</v>
      </c>
      <c r="F135">
        <v>172.61999511718801</v>
      </c>
      <c r="G135">
        <v>172.07000732421901</v>
      </c>
      <c r="H135">
        <v>162.22999572753901</v>
      </c>
      <c r="I135">
        <v>166.71000671386699</v>
      </c>
      <c r="J135">
        <v>163.33999633789099</v>
      </c>
      <c r="K135">
        <v>168.21000671386699</v>
      </c>
      <c r="L135">
        <v>179.63999938964801</v>
      </c>
      <c r="M135">
        <v>170.22999572753901</v>
      </c>
      <c r="N135">
        <v>174.80999755859401</v>
      </c>
      <c r="O135">
        <v>170.47000122070301</v>
      </c>
      <c r="P135">
        <v>168.55000305175801</v>
      </c>
      <c r="Q135">
        <v>170.63000488281301</v>
      </c>
      <c r="R135">
        <v>172.53999328613301</v>
      </c>
      <c r="S135">
        <v>168.36999511718801</v>
      </c>
      <c r="T135">
        <v>170.46000671386699</v>
      </c>
    </row>
    <row r="136" spans="1:20" x14ac:dyDescent="0.3">
      <c r="A136">
        <v>167.61000061035199</v>
      </c>
      <c r="B136">
        <v>163</v>
      </c>
      <c r="C136">
        <v>172.919998168945</v>
      </c>
      <c r="D136">
        <v>172.36000061035199</v>
      </c>
      <c r="E136">
        <v>170.5</v>
      </c>
      <c r="F136">
        <v>174.830001831055</v>
      </c>
      <c r="G136">
        <v>163.02999877929699</v>
      </c>
      <c r="H136">
        <v>171.08999633789099</v>
      </c>
      <c r="I136">
        <v>165.21000671386699</v>
      </c>
      <c r="J136">
        <v>169.85000610351599</v>
      </c>
      <c r="K136">
        <v>171.71000671386699</v>
      </c>
      <c r="L136">
        <v>171.77000427246099</v>
      </c>
      <c r="M136">
        <v>165.22999572753901</v>
      </c>
      <c r="N136">
        <v>173.55999755859401</v>
      </c>
      <c r="O136">
        <v>172.46000671386699</v>
      </c>
      <c r="P136">
        <v>167.88999938964801</v>
      </c>
      <c r="Q136">
        <v>180.07000732421901</v>
      </c>
      <c r="R136">
        <v>175.46000671386699</v>
      </c>
      <c r="S136">
        <v>174.77000427246099</v>
      </c>
      <c r="T136">
        <v>168.94999694824199</v>
      </c>
    </row>
    <row r="137" spans="1:20" x14ac:dyDescent="0.3">
      <c r="A137">
        <v>179.55999755859401</v>
      </c>
      <c r="B137">
        <v>175.74000549316401</v>
      </c>
      <c r="C137">
        <v>170.52000427246099</v>
      </c>
      <c r="D137">
        <v>163.49000549316401</v>
      </c>
      <c r="E137">
        <v>176.47999572753901</v>
      </c>
      <c r="F137">
        <v>169.580001831055</v>
      </c>
      <c r="G137">
        <v>165.13000488281301</v>
      </c>
      <c r="H137">
        <v>163.71000671386699</v>
      </c>
      <c r="I137">
        <v>172.16000366210901</v>
      </c>
      <c r="J137">
        <v>167.55999755859401</v>
      </c>
      <c r="K137">
        <v>169.24000549316401</v>
      </c>
      <c r="L137">
        <v>166.80999755859401</v>
      </c>
      <c r="M137">
        <v>172.080001831055</v>
      </c>
      <c r="N137">
        <v>179.16000366210901</v>
      </c>
      <c r="O137">
        <v>172.36000061035199</v>
      </c>
      <c r="P137">
        <v>166.28999328613301</v>
      </c>
      <c r="Q137">
        <v>173.77000427246099</v>
      </c>
      <c r="R137">
        <v>177.88999938964801</v>
      </c>
      <c r="S137">
        <v>171.97999572753901</v>
      </c>
      <c r="T137">
        <v>163.63999938964801</v>
      </c>
    </row>
    <row r="138" spans="1:20" x14ac:dyDescent="0.3">
      <c r="A138">
        <v>163.39999389648401</v>
      </c>
      <c r="B138">
        <v>164.53999328613301</v>
      </c>
      <c r="C138">
        <v>167.39999389648401</v>
      </c>
      <c r="D138">
        <v>170.19000244140599</v>
      </c>
      <c r="E138">
        <v>165.38000488281301</v>
      </c>
      <c r="F138">
        <v>171.669998168945</v>
      </c>
      <c r="G138">
        <v>166.02999877929699</v>
      </c>
      <c r="H138">
        <v>167.669998168945</v>
      </c>
      <c r="I138">
        <v>166.03999328613301</v>
      </c>
      <c r="J138">
        <v>172.86999511718801</v>
      </c>
      <c r="K138">
        <v>178.10000610351599</v>
      </c>
      <c r="L138">
        <v>173.96000671386699</v>
      </c>
      <c r="M138">
        <v>162.89999389648401</v>
      </c>
      <c r="N138">
        <v>169.63000488281301</v>
      </c>
      <c r="O138">
        <v>173.11999511718801</v>
      </c>
      <c r="P138">
        <v>170.57000732421901</v>
      </c>
      <c r="Q138">
        <v>169.44999694824199</v>
      </c>
      <c r="R138">
        <v>171.46000671386699</v>
      </c>
      <c r="S138">
        <v>164.57000732421901</v>
      </c>
      <c r="T138">
        <v>171</v>
      </c>
    </row>
    <row r="139" spans="1:20" x14ac:dyDescent="0.3">
      <c r="A139">
        <v>171.52000427246099</v>
      </c>
      <c r="B139">
        <v>173.17999267578099</v>
      </c>
      <c r="C139">
        <v>169.75</v>
      </c>
      <c r="D139">
        <v>172.05999755859401</v>
      </c>
      <c r="E139">
        <v>165.19999694824199</v>
      </c>
      <c r="F139">
        <v>168.5</v>
      </c>
      <c r="G139">
        <v>175.55000305175801</v>
      </c>
      <c r="H139">
        <v>170.19000244140599</v>
      </c>
      <c r="I139">
        <v>166.5</v>
      </c>
      <c r="J139">
        <v>168.82000732421901</v>
      </c>
      <c r="K139">
        <v>167.72999572753901</v>
      </c>
      <c r="L139">
        <v>172.080001831055</v>
      </c>
      <c r="M139">
        <v>172.94000244140599</v>
      </c>
      <c r="N139">
        <v>167.64999389648401</v>
      </c>
      <c r="O139">
        <v>167.78999328613301</v>
      </c>
      <c r="P139">
        <v>171.22000122070301</v>
      </c>
      <c r="Q139">
        <v>166</v>
      </c>
      <c r="R139">
        <v>166.47999572753901</v>
      </c>
      <c r="S139">
        <v>165.22999572753901</v>
      </c>
      <c r="T139">
        <v>181.11000061035199</v>
      </c>
    </row>
    <row r="140" spans="1:20" x14ac:dyDescent="0.3">
      <c r="A140">
        <v>167.19000244140599</v>
      </c>
      <c r="B140">
        <v>169.85000610351599</v>
      </c>
      <c r="C140">
        <v>169.66000366210901</v>
      </c>
      <c r="D140">
        <v>168.08999633789099</v>
      </c>
      <c r="E140">
        <v>164.83999633789099</v>
      </c>
      <c r="F140">
        <v>169.88000488281301</v>
      </c>
      <c r="G140">
        <v>163.41000366210901</v>
      </c>
      <c r="H140">
        <v>163.89999389648401</v>
      </c>
      <c r="I140">
        <v>172.05999755859401</v>
      </c>
      <c r="J140">
        <v>174.85000610351599</v>
      </c>
      <c r="K140">
        <v>177.47000122070301</v>
      </c>
      <c r="L140">
        <v>171.39999389648401</v>
      </c>
      <c r="M140">
        <v>170.33999633789099</v>
      </c>
      <c r="N140">
        <v>174.25</v>
      </c>
      <c r="O140">
        <v>169.35000610351599</v>
      </c>
      <c r="P140">
        <v>168.08999633789099</v>
      </c>
      <c r="Q140">
        <v>169.19000244140599</v>
      </c>
      <c r="R140">
        <v>173.61000061035199</v>
      </c>
      <c r="S140">
        <v>172.55000305175801</v>
      </c>
      <c r="T140">
        <v>167.47999572753901</v>
      </c>
    </row>
    <row r="141" spans="1:20" x14ac:dyDescent="0.3">
      <c r="A141">
        <v>166.32000732421901</v>
      </c>
      <c r="B141">
        <v>168.86000061035199</v>
      </c>
      <c r="C141">
        <v>170.86000061035199</v>
      </c>
      <c r="D141">
        <v>170.41000366210901</v>
      </c>
      <c r="E141">
        <v>167.83999633789099</v>
      </c>
      <c r="F141">
        <v>169.75</v>
      </c>
      <c r="G141">
        <v>164.94999694824199</v>
      </c>
      <c r="H141">
        <v>168.55000305175801</v>
      </c>
      <c r="I141">
        <v>169.86999511718801</v>
      </c>
      <c r="J141">
        <v>168.50999450683599</v>
      </c>
      <c r="K141">
        <v>174.28999328613301</v>
      </c>
      <c r="L141">
        <v>171.30999755859401</v>
      </c>
      <c r="M141">
        <v>169.89999389648401</v>
      </c>
      <c r="N141">
        <v>170.64999389648401</v>
      </c>
      <c r="O141">
        <v>168.38999938964801</v>
      </c>
      <c r="P141">
        <v>168.21000671386699</v>
      </c>
      <c r="Q141">
        <v>165.44000244140599</v>
      </c>
      <c r="R141">
        <v>165.669998168945</v>
      </c>
      <c r="S141">
        <v>176.74000549316401</v>
      </c>
      <c r="T141">
        <v>168.72999572753901</v>
      </c>
    </row>
    <row r="142" spans="1:20" x14ac:dyDescent="0.3">
      <c r="A142">
        <v>175.21000671386699</v>
      </c>
      <c r="B142">
        <v>172.419998168945</v>
      </c>
      <c r="C142">
        <v>170.46000671386699</v>
      </c>
      <c r="D142">
        <v>178.05000305175801</v>
      </c>
      <c r="E142">
        <v>174.13999938964801</v>
      </c>
      <c r="F142">
        <v>167.94000244140599</v>
      </c>
      <c r="G142">
        <v>174.919998168945</v>
      </c>
      <c r="H142">
        <v>172.77999877929699</v>
      </c>
      <c r="I142">
        <v>169.5</v>
      </c>
      <c r="J142">
        <v>175.27000427246099</v>
      </c>
      <c r="K142">
        <v>170.55999755859401</v>
      </c>
      <c r="L142">
        <v>170.08999633789099</v>
      </c>
      <c r="M142">
        <v>166.80000305175801</v>
      </c>
      <c r="N142">
        <v>171.919998168945</v>
      </c>
      <c r="O142">
        <v>174.89999389648401</v>
      </c>
      <c r="P142">
        <v>167.46000671386699</v>
      </c>
      <c r="Q142">
        <v>171.55000305175801</v>
      </c>
      <c r="R142">
        <v>167.38000488281301</v>
      </c>
      <c r="S142">
        <v>173.42999267578099</v>
      </c>
      <c r="T142">
        <v>174.38999938964801</v>
      </c>
    </row>
    <row r="143" spans="1:20" x14ac:dyDescent="0.3">
      <c r="A143">
        <v>176.32000732421901</v>
      </c>
      <c r="B143">
        <v>164.38999938964801</v>
      </c>
      <c r="C143">
        <v>168.72000122070301</v>
      </c>
      <c r="D143">
        <v>170.66000366210901</v>
      </c>
      <c r="E143">
        <v>169.77999877929699</v>
      </c>
      <c r="F143">
        <v>171.92999267578099</v>
      </c>
      <c r="G143">
        <v>173.19000244140599</v>
      </c>
      <c r="H143">
        <v>167.89999389648401</v>
      </c>
      <c r="I143">
        <v>164.63000488281301</v>
      </c>
      <c r="J143">
        <v>166.22999572753901</v>
      </c>
      <c r="K143">
        <v>181.78999328613301</v>
      </c>
      <c r="L143">
        <v>166.63000488281301</v>
      </c>
      <c r="M143">
        <v>162.35000610351599</v>
      </c>
      <c r="N143">
        <v>172.78999328613301</v>
      </c>
      <c r="O143">
        <v>172.00999450683599</v>
      </c>
      <c r="P143">
        <v>168.38000488281301</v>
      </c>
      <c r="Q143">
        <v>168.46000671386699</v>
      </c>
      <c r="R143">
        <v>169.08999633789099</v>
      </c>
      <c r="S143">
        <v>169.36999511718801</v>
      </c>
      <c r="T143">
        <v>166.61999511718801</v>
      </c>
    </row>
    <row r="144" spans="1:20" x14ac:dyDescent="0.3">
      <c r="A144">
        <v>173.97000122070301</v>
      </c>
      <c r="B144">
        <v>172</v>
      </c>
      <c r="C144">
        <v>170.78999328613301</v>
      </c>
      <c r="D144">
        <v>170.30000305175801</v>
      </c>
      <c r="E144">
        <v>168.75</v>
      </c>
      <c r="F144">
        <v>170.60000610351599</v>
      </c>
      <c r="G144">
        <v>170.53999328613301</v>
      </c>
      <c r="H144">
        <v>169.55999755859401</v>
      </c>
      <c r="I144">
        <v>166.85000610351599</v>
      </c>
      <c r="J144">
        <v>167.88999938964801</v>
      </c>
      <c r="K144">
        <v>168.36999511718801</v>
      </c>
      <c r="L144">
        <v>182.25999450683599</v>
      </c>
      <c r="M144">
        <v>169.77000427246099</v>
      </c>
      <c r="N144">
        <v>161.36999511718801</v>
      </c>
      <c r="O144">
        <v>169.75999450683599</v>
      </c>
      <c r="P144">
        <v>173.89999389648401</v>
      </c>
      <c r="Q144">
        <v>167.00999450683599</v>
      </c>
      <c r="R144">
        <v>176.53999328613301</v>
      </c>
      <c r="S144">
        <v>168.21000671386699</v>
      </c>
      <c r="T144">
        <v>177.97999572753901</v>
      </c>
    </row>
    <row r="145" spans="1:20" x14ac:dyDescent="0.3">
      <c r="A145">
        <v>168.13999938964801</v>
      </c>
      <c r="B145">
        <v>171.63000488281301</v>
      </c>
      <c r="C145">
        <v>168.44999694824199</v>
      </c>
      <c r="D145">
        <v>171.169998168945</v>
      </c>
      <c r="E145">
        <v>162.63999938964801</v>
      </c>
      <c r="F145">
        <v>171.92999267578099</v>
      </c>
      <c r="G145">
        <v>166.38999938964801</v>
      </c>
      <c r="H145">
        <v>167.60000610351599</v>
      </c>
      <c r="I145">
        <v>167.38999938964801</v>
      </c>
      <c r="J145">
        <v>171.86000061035199</v>
      </c>
      <c r="K145">
        <v>169.33999633789099</v>
      </c>
      <c r="L145">
        <v>174.41000366210901</v>
      </c>
      <c r="M145">
        <v>163.89999389648401</v>
      </c>
      <c r="N145">
        <v>172.919998168945</v>
      </c>
      <c r="O145">
        <v>170.78999328613301</v>
      </c>
      <c r="P145">
        <v>181.08999633789099</v>
      </c>
      <c r="Q145">
        <v>169.669998168945</v>
      </c>
      <c r="R145">
        <v>172.61000061035199</v>
      </c>
      <c r="S145">
        <v>172.24000549316401</v>
      </c>
      <c r="T145">
        <v>173.14999389648401</v>
      </c>
    </row>
    <row r="146" spans="1:20" x14ac:dyDescent="0.3">
      <c r="A146">
        <v>168.19000244140599</v>
      </c>
      <c r="B146">
        <v>166.57000732421901</v>
      </c>
      <c r="C146">
        <v>169.88000488281301</v>
      </c>
      <c r="D146">
        <v>169.35000610351599</v>
      </c>
      <c r="E146">
        <v>166.42999267578099</v>
      </c>
      <c r="F146">
        <v>160.83999633789099</v>
      </c>
      <c r="G146">
        <v>174.52999877929699</v>
      </c>
      <c r="H146">
        <v>167.72000122070301</v>
      </c>
      <c r="I146">
        <v>174.86999511718801</v>
      </c>
      <c r="J146">
        <v>168.67999267578099</v>
      </c>
      <c r="K146">
        <v>172.13000488281301</v>
      </c>
      <c r="L146">
        <v>166.41000366210901</v>
      </c>
      <c r="M146">
        <v>166.99000549316401</v>
      </c>
      <c r="N146">
        <v>163.58999633789099</v>
      </c>
      <c r="O146">
        <v>172.16000366210901</v>
      </c>
      <c r="P146">
        <v>166.91000366210901</v>
      </c>
      <c r="Q146">
        <v>176.30999755859401</v>
      </c>
      <c r="R146">
        <v>167.07000732421901</v>
      </c>
      <c r="S146">
        <v>172.13999938964801</v>
      </c>
      <c r="T146">
        <v>174.72999572753901</v>
      </c>
    </row>
    <row r="147" spans="1:20" x14ac:dyDescent="0.3">
      <c r="A147">
        <v>166.63999938964801</v>
      </c>
      <c r="B147">
        <v>168.71000671386699</v>
      </c>
      <c r="C147">
        <v>177.41000366210901</v>
      </c>
      <c r="D147">
        <v>164.57000732421901</v>
      </c>
      <c r="E147">
        <v>168.27000427246099</v>
      </c>
      <c r="F147">
        <v>168.86000061035199</v>
      </c>
      <c r="G147">
        <v>168.919998168945</v>
      </c>
      <c r="H147">
        <v>169.27999877929699</v>
      </c>
      <c r="I147">
        <v>173.02999877929699</v>
      </c>
      <c r="J147">
        <v>173.50999450683599</v>
      </c>
      <c r="K147">
        <v>174.30000305175801</v>
      </c>
      <c r="L147">
        <v>165.25</v>
      </c>
      <c r="M147">
        <v>170.419998168945</v>
      </c>
      <c r="N147">
        <v>164.169998168945</v>
      </c>
      <c r="O147">
        <v>163.07000732421901</v>
      </c>
      <c r="P147">
        <v>161.97000122070301</v>
      </c>
      <c r="Q147">
        <v>169.94000244140599</v>
      </c>
      <c r="R147">
        <v>166.330001831055</v>
      </c>
      <c r="S147">
        <v>168.72000122070301</v>
      </c>
      <c r="T147">
        <v>164.94000244140599</v>
      </c>
    </row>
    <row r="148" spans="1:20" x14ac:dyDescent="0.3">
      <c r="A148">
        <v>160.88000488281301</v>
      </c>
      <c r="B148">
        <v>168.36999511718801</v>
      </c>
      <c r="C148">
        <v>169.22999572753901</v>
      </c>
      <c r="D148">
        <v>173.92999267578099</v>
      </c>
      <c r="E148">
        <v>175.169998168945</v>
      </c>
      <c r="F148">
        <v>163.919998168945</v>
      </c>
      <c r="G148">
        <v>165.38000488281301</v>
      </c>
      <c r="H148">
        <v>163.00999450683599</v>
      </c>
      <c r="I148">
        <v>174.52999877929699</v>
      </c>
      <c r="J148">
        <v>163.89999389648401</v>
      </c>
      <c r="K148">
        <v>181.330001831055</v>
      </c>
      <c r="L148">
        <v>175.27999877929699</v>
      </c>
      <c r="M148">
        <v>172.46000671386699</v>
      </c>
      <c r="N148">
        <v>169.830001831055</v>
      </c>
      <c r="O148">
        <v>178.61000061035199</v>
      </c>
      <c r="P148">
        <v>172.24000549316401</v>
      </c>
      <c r="Q148">
        <v>170.46000671386699</v>
      </c>
      <c r="R148">
        <v>171.19999694824199</v>
      </c>
      <c r="S148">
        <v>170.69999694824199</v>
      </c>
      <c r="T148">
        <v>167.39999389648401</v>
      </c>
    </row>
    <row r="149" spans="1:20" x14ac:dyDescent="0.3">
      <c r="A149">
        <v>170.94000244140599</v>
      </c>
      <c r="B149">
        <v>163.99000549316401</v>
      </c>
      <c r="C149">
        <v>169.22000122070301</v>
      </c>
      <c r="D149">
        <v>173.71000671386699</v>
      </c>
      <c r="E149">
        <v>166.80000305175801</v>
      </c>
      <c r="F149">
        <v>176.080001831055</v>
      </c>
      <c r="G149">
        <v>167.38999938964801</v>
      </c>
      <c r="H149">
        <v>168.80000305175801</v>
      </c>
      <c r="I149">
        <v>174.66000366210901</v>
      </c>
      <c r="J149">
        <v>165.55000305175801</v>
      </c>
      <c r="K149">
        <v>164.30999755859401</v>
      </c>
      <c r="L149">
        <v>168.02000427246099</v>
      </c>
      <c r="M149">
        <v>168.02000427246099</v>
      </c>
      <c r="N149">
        <v>169.89999389648401</v>
      </c>
      <c r="O149">
        <v>173.49000549316401</v>
      </c>
      <c r="P149">
        <v>172.86999511718801</v>
      </c>
      <c r="Q149">
        <v>172.38999938964801</v>
      </c>
      <c r="R149">
        <v>170.63000488281301</v>
      </c>
      <c r="S149">
        <v>168.419998168945</v>
      </c>
      <c r="T149">
        <v>168.85000610351599</v>
      </c>
    </row>
    <row r="150" spans="1:20" x14ac:dyDescent="0.3">
      <c r="A150">
        <v>169.27000427246099</v>
      </c>
      <c r="B150">
        <v>167.89999389648401</v>
      </c>
      <c r="C150">
        <v>168.58999633789099</v>
      </c>
      <c r="D150">
        <v>173.03999328613301</v>
      </c>
      <c r="E150">
        <v>165.21000671386699</v>
      </c>
      <c r="F150">
        <v>171.30999755859401</v>
      </c>
      <c r="G150">
        <v>171.80999755859401</v>
      </c>
      <c r="H150">
        <v>169.419998168945</v>
      </c>
      <c r="I150">
        <v>169.08999633789099</v>
      </c>
      <c r="J150">
        <v>174.03999328613301</v>
      </c>
      <c r="K150">
        <v>161.72999572753901</v>
      </c>
      <c r="L150">
        <v>167.86999511718801</v>
      </c>
      <c r="M150">
        <v>174.41000366210901</v>
      </c>
      <c r="N150">
        <v>169.580001831055</v>
      </c>
      <c r="O150">
        <v>171.83999633789099</v>
      </c>
      <c r="P150">
        <v>173.88000488281301</v>
      </c>
      <c r="Q150">
        <v>170.67999267578099</v>
      </c>
      <c r="R150">
        <v>171.44000244140599</v>
      </c>
      <c r="S150">
        <v>167.63000488281301</v>
      </c>
      <c r="T150">
        <v>172.96000671386699</v>
      </c>
    </row>
    <row r="151" spans="1:20" x14ac:dyDescent="0.3">
      <c r="A151">
        <v>166.419998168945</v>
      </c>
      <c r="B151">
        <v>176.08999633789099</v>
      </c>
      <c r="C151">
        <v>167.74000549316401</v>
      </c>
      <c r="D151">
        <v>171.71000671386699</v>
      </c>
      <c r="E151">
        <v>172.58999633789099</v>
      </c>
      <c r="F151">
        <v>169.22000122070301</v>
      </c>
      <c r="G151">
        <v>166.669998168945</v>
      </c>
      <c r="H151">
        <v>176.27999877929699</v>
      </c>
      <c r="I151">
        <v>171.64999389648401</v>
      </c>
      <c r="J151">
        <v>172.60000610351599</v>
      </c>
      <c r="K151">
        <v>169.22000122070301</v>
      </c>
      <c r="L151">
        <v>165.85000610351599</v>
      </c>
      <c r="M151">
        <v>169.080001831055</v>
      </c>
      <c r="N151">
        <v>163.72999572753901</v>
      </c>
      <c r="O151">
        <v>172.89999389648401</v>
      </c>
      <c r="P151">
        <v>173.92999267578099</v>
      </c>
      <c r="Q151">
        <v>166.38999938964801</v>
      </c>
      <c r="R151">
        <v>168.11999511718801</v>
      </c>
      <c r="S151">
        <v>171.22000122070301</v>
      </c>
      <c r="T151">
        <v>166</v>
      </c>
    </row>
    <row r="152" spans="1:20" x14ac:dyDescent="0.3">
      <c r="A152">
        <v>168.86000061035199</v>
      </c>
      <c r="B152">
        <v>165.91000366210901</v>
      </c>
      <c r="C152">
        <v>161.94000244140599</v>
      </c>
      <c r="D152">
        <v>177.91000366210901</v>
      </c>
      <c r="E152">
        <v>169.03999328613301</v>
      </c>
      <c r="F152">
        <v>164.77999877929699</v>
      </c>
      <c r="G152">
        <v>168.83999633789099</v>
      </c>
      <c r="H152">
        <v>167.19000244140599</v>
      </c>
      <c r="I152">
        <v>168.02999877929699</v>
      </c>
      <c r="J152">
        <v>165.83999633789099</v>
      </c>
      <c r="K152">
        <v>169.30999755859401</v>
      </c>
      <c r="L152">
        <v>177.41000366210901</v>
      </c>
      <c r="M152">
        <v>167.35000610351599</v>
      </c>
      <c r="N152">
        <v>178.58999633789099</v>
      </c>
      <c r="O152">
        <v>172.83999633789099</v>
      </c>
      <c r="P152">
        <v>174.07000732421901</v>
      </c>
      <c r="Q152">
        <v>168.47999572753901</v>
      </c>
      <c r="R152">
        <v>168.52999877929699</v>
      </c>
      <c r="S152">
        <v>164.94000244140599</v>
      </c>
      <c r="T152">
        <v>174.669998168945</v>
      </c>
    </row>
    <row r="153" spans="1:20" x14ac:dyDescent="0.3">
      <c r="A153">
        <v>164.67999267578099</v>
      </c>
      <c r="B153">
        <v>169.86999511718801</v>
      </c>
      <c r="C153">
        <v>171.10000610351599</v>
      </c>
      <c r="D153">
        <v>169.94999694824199</v>
      </c>
      <c r="E153">
        <v>178.27000427246099</v>
      </c>
      <c r="F153">
        <v>182.13000488281301</v>
      </c>
      <c r="G153">
        <v>165.86999511718801</v>
      </c>
      <c r="H153">
        <v>172.08999633789099</v>
      </c>
      <c r="I153">
        <v>169.61000061035199</v>
      </c>
      <c r="J153">
        <v>173.52000427246099</v>
      </c>
      <c r="K153">
        <v>173.14999389648401</v>
      </c>
      <c r="L153">
        <v>168.10000610351599</v>
      </c>
      <c r="M153">
        <v>172.19999694824199</v>
      </c>
      <c r="N153">
        <v>169.52999877929699</v>
      </c>
      <c r="O153">
        <v>166.42999267578099</v>
      </c>
      <c r="P153">
        <v>167.49000549316401</v>
      </c>
      <c r="Q153">
        <v>163.53999328613301</v>
      </c>
      <c r="R153">
        <v>175.669998168945</v>
      </c>
      <c r="S153">
        <v>171.22000122070301</v>
      </c>
      <c r="T153">
        <v>163.75999450683599</v>
      </c>
    </row>
    <row r="154" spans="1:20" x14ac:dyDescent="0.3">
      <c r="A154">
        <v>177.38999938964801</v>
      </c>
      <c r="B154">
        <v>161.38000488281301</v>
      </c>
      <c r="C154">
        <v>177.52999877929699</v>
      </c>
      <c r="D154">
        <v>166.05000305175801</v>
      </c>
      <c r="E154">
        <v>169.39999389648401</v>
      </c>
      <c r="F154">
        <v>168.30000305175801</v>
      </c>
      <c r="G154">
        <v>169.69999694824199</v>
      </c>
      <c r="H154">
        <v>170.80999755859401</v>
      </c>
      <c r="I154">
        <v>175.10000610351599</v>
      </c>
      <c r="J154">
        <v>176.27999877929699</v>
      </c>
      <c r="K154">
        <v>178.30999755859401</v>
      </c>
      <c r="L154">
        <v>167.38999938964801</v>
      </c>
      <c r="M154">
        <v>168</v>
      </c>
      <c r="N154">
        <v>166.830001831055</v>
      </c>
      <c r="O154">
        <v>168.86000061035199</v>
      </c>
      <c r="P154">
        <v>169.28999328613301</v>
      </c>
      <c r="Q154">
        <v>169.58999633789099</v>
      </c>
      <c r="R154">
        <v>169.44999694824199</v>
      </c>
      <c r="S154">
        <v>174.86000061035199</v>
      </c>
      <c r="T154">
        <v>174.00999450683599</v>
      </c>
    </row>
    <row r="155" spans="1:20" x14ac:dyDescent="0.3">
      <c r="A155">
        <v>167.60000610351599</v>
      </c>
      <c r="B155">
        <v>172.46000671386699</v>
      </c>
      <c r="C155">
        <v>175.66000366210901</v>
      </c>
      <c r="D155">
        <v>170.03999328613301</v>
      </c>
      <c r="E155">
        <v>166.69000244140599</v>
      </c>
      <c r="F155">
        <v>170.94000244140599</v>
      </c>
      <c r="G155">
        <v>170.38000488281301</v>
      </c>
      <c r="H155">
        <v>162.83999633789099</v>
      </c>
      <c r="I155">
        <v>164.41000366210901</v>
      </c>
      <c r="J155">
        <v>169.419998168945</v>
      </c>
      <c r="K155">
        <v>170.47000122070301</v>
      </c>
      <c r="L155">
        <v>170.38999938964801</v>
      </c>
      <c r="M155">
        <v>166.25999450683599</v>
      </c>
      <c r="N155">
        <v>169.41000366210901</v>
      </c>
      <c r="O155">
        <v>173.44999694824199</v>
      </c>
      <c r="P155">
        <v>166.19000244140599</v>
      </c>
      <c r="Q155">
        <v>177.72999572753901</v>
      </c>
      <c r="R155">
        <v>172.41000366210901</v>
      </c>
      <c r="S155">
        <v>172.80000305175801</v>
      </c>
      <c r="T155">
        <v>159.75</v>
      </c>
    </row>
    <row r="156" spans="1:20" x14ac:dyDescent="0.3">
      <c r="A156">
        <v>170.85000610351599</v>
      </c>
      <c r="B156">
        <v>167.55000305175801</v>
      </c>
      <c r="C156">
        <v>173.83999633789099</v>
      </c>
      <c r="D156">
        <v>173.17999267578099</v>
      </c>
      <c r="E156">
        <v>171.28999328613301</v>
      </c>
      <c r="F156">
        <v>168.11000061035199</v>
      </c>
      <c r="G156">
        <v>165.88000488281301</v>
      </c>
      <c r="H156">
        <v>173.02999877929699</v>
      </c>
      <c r="I156">
        <v>172.28999328613301</v>
      </c>
      <c r="J156">
        <v>168.61999511718801</v>
      </c>
      <c r="K156">
        <v>169.22999572753901</v>
      </c>
      <c r="L156">
        <v>171.57000732421901</v>
      </c>
      <c r="M156">
        <v>167.36999511718801</v>
      </c>
      <c r="N156">
        <v>162.57000732421901</v>
      </c>
      <c r="O156">
        <v>169.38999938964801</v>
      </c>
      <c r="P156">
        <v>170.30000305175801</v>
      </c>
      <c r="Q156">
        <v>162</v>
      </c>
      <c r="R156">
        <v>175.46000671386699</v>
      </c>
      <c r="S156">
        <v>171.88000488281301</v>
      </c>
      <c r="T156">
        <v>170.72999572753901</v>
      </c>
    </row>
    <row r="157" spans="1:20" x14ac:dyDescent="0.3">
      <c r="A157">
        <v>175.28999328613301</v>
      </c>
      <c r="B157">
        <v>165.22000122070301</v>
      </c>
      <c r="C157">
        <v>172.03999328613301</v>
      </c>
      <c r="D157">
        <v>167.85000610351599</v>
      </c>
      <c r="E157">
        <v>174.97999572753901</v>
      </c>
      <c r="F157">
        <v>170.00999450683599</v>
      </c>
      <c r="G157">
        <v>167.78999328613301</v>
      </c>
      <c r="H157">
        <v>173.39999389648401</v>
      </c>
      <c r="I157">
        <v>174.169998168945</v>
      </c>
      <c r="J157">
        <v>171.69000244140599</v>
      </c>
      <c r="K157">
        <v>169.80000305175801</v>
      </c>
      <c r="L157">
        <v>170.580001831055</v>
      </c>
      <c r="M157">
        <v>170.36999511718801</v>
      </c>
      <c r="N157">
        <v>163.75</v>
      </c>
      <c r="O157">
        <v>167.55999755859401</v>
      </c>
      <c r="P157">
        <v>168.88999938964801</v>
      </c>
      <c r="Q157">
        <v>169.07000732421901</v>
      </c>
      <c r="R157">
        <v>175.67999267578099</v>
      </c>
      <c r="S157">
        <v>170.57000732421901</v>
      </c>
      <c r="T157">
        <v>161.82000732421901</v>
      </c>
    </row>
    <row r="158" spans="1:20" x14ac:dyDescent="0.3">
      <c r="A158">
        <v>167.47999572753901</v>
      </c>
      <c r="B158">
        <v>167.919998168945</v>
      </c>
      <c r="C158">
        <v>167.63000488281301</v>
      </c>
      <c r="D158">
        <v>181.30999755859401</v>
      </c>
      <c r="E158">
        <v>173.94000244140599</v>
      </c>
      <c r="F158">
        <v>172.72000122070301</v>
      </c>
      <c r="G158">
        <v>167.11999511718801</v>
      </c>
      <c r="H158">
        <v>172.83999633789099</v>
      </c>
      <c r="I158">
        <v>163.83999633789099</v>
      </c>
      <c r="J158">
        <v>172.33999633789099</v>
      </c>
      <c r="K158">
        <v>164.80000305175801</v>
      </c>
      <c r="L158">
        <v>173.92999267578099</v>
      </c>
      <c r="M158">
        <v>166.69000244140599</v>
      </c>
      <c r="N158">
        <v>164.27999877929699</v>
      </c>
      <c r="O158">
        <v>166.17999267578099</v>
      </c>
      <c r="P158">
        <v>166.08999633789099</v>
      </c>
      <c r="Q158">
        <v>163.97000122070301</v>
      </c>
      <c r="R158">
        <v>174.03999328613301</v>
      </c>
      <c r="S158">
        <v>164.75</v>
      </c>
      <c r="T158">
        <v>166.80999755859401</v>
      </c>
    </row>
    <row r="159" spans="1:20" x14ac:dyDescent="0.3">
      <c r="A159">
        <v>170.11999511718801</v>
      </c>
      <c r="B159">
        <v>163.75999450683599</v>
      </c>
      <c r="C159">
        <v>165.10000610351599</v>
      </c>
      <c r="D159">
        <v>169.49000549316401</v>
      </c>
      <c r="E159">
        <v>166.5</v>
      </c>
      <c r="F159">
        <v>175.97000122070301</v>
      </c>
      <c r="G159">
        <v>171.99000549316401</v>
      </c>
      <c r="H159">
        <v>170.88999938964801</v>
      </c>
      <c r="I159">
        <v>171.25999450683599</v>
      </c>
      <c r="J159">
        <v>173.92999267578099</v>
      </c>
      <c r="K159">
        <v>170</v>
      </c>
      <c r="L159">
        <v>172.78999328613301</v>
      </c>
      <c r="M159">
        <v>169.89999389648401</v>
      </c>
      <c r="N159">
        <v>171.14999389648401</v>
      </c>
      <c r="O159">
        <v>164.63999938964801</v>
      </c>
      <c r="P159">
        <v>168.69999694824199</v>
      </c>
      <c r="Q159">
        <v>171.91000366210901</v>
      </c>
      <c r="R159">
        <v>169.11999511718801</v>
      </c>
      <c r="S159">
        <v>169.41000366210901</v>
      </c>
      <c r="T159">
        <v>164.11000061035199</v>
      </c>
    </row>
    <row r="160" spans="1:20" x14ac:dyDescent="0.3">
      <c r="A160">
        <v>171.77999877929699</v>
      </c>
      <c r="B160">
        <v>176.22999572753901</v>
      </c>
      <c r="C160">
        <v>157.86999511718801</v>
      </c>
      <c r="D160">
        <v>174.67999267578099</v>
      </c>
      <c r="E160">
        <v>166.86000061035199</v>
      </c>
      <c r="F160">
        <v>168.86999511718801</v>
      </c>
      <c r="G160">
        <v>165.419998168945</v>
      </c>
      <c r="H160">
        <v>167.47999572753901</v>
      </c>
      <c r="I160">
        <v>172.25</v>
      </c>
      <c r="J160">
        <v>167.19999694824199</v>
      </c>
      <c r="K160">
        <v>170.02999877929699</v>
      </c>
      <c r="L160">
        <v>172.71000671386699</v>
      </c>
      <c r="M160">
        <v>173.46000671386699</v>
      </c>
      <c r="N160">
        <v>168.72000122070301</v>
      </c>
      <c r="O160">
        <v>177.21000671386699</v>
      </c>
      <c r="P160">
        <v>163.88999938964801</v>
      </c>
      <c r="Q160">
        <v>167.97999572753901</v>
      </c>
      <c r="R160">
        <v>166.92999267578099</v>
      </c>
      <c r="S160">
        <v>168.44999694824199</v>
      </c>
      <c r="T160">
        <v>162.50999450683599</v>
      </c>
    </row>
    <row r="161" spans="1:20" x14ac:dyDescent="0.3">
      <c r="A161">
        <v>172.69999694824199</v>
      </c>
      <c r="B161">
        <v>165.96000671386699</v>
      </c>
      <c r="C161">
        <v>165.97000122070301</v>
      </c>
      <c r="D161">
        <v>171.330001831055</v>
      </c>
      <c r="E161">
        <v>166.86999511718801</v>
      </c>
      <c r="F161">
        <v>175.669998168945</v>
      </c>
      <c r="G161">
        <v>171.080001831055</v>
      </c>
      <c r="H161">
        <v>168.669998168945</v>
      </c>
      <c r="I161">
        <v>166.28999328613301</v>
      </c>
      <c r="J161">
        <v>168.02000427246099</v>
      </c>
      <c r="K161">
        <v>172.19000244140599</v>
      </c>
      <c r="L161">
        <v>167.38999938964801</v>
      </c>
      <c r="M161">
        <v>172.46000671386699</v>
      </c>
      <c r="N161">
        <v>168.49000549316401</v>
      </c>
      <c r="O161">
        <v>174.80000305175801</v>
      </c>
      <c r="P161">
        <v>168.99000549316401</v>
      </c>
      <c r="Q161">
        <v>166.88999938964801</v>
      </c>
      <c r="R161">
        <v>170.58999633789099</v>
      </c>
      <c r="S161">
        <v>172.419998168945</v>
      </c>
      <c r="T161">
        <v>166.97000122070301</v>
      </c>
    </row>
    <row r="162" spans="1:20" x14ac:dyDescent="0.3">
      <c r="A162">
        <v>170.49000549316401</v>
      </c>
      <c r="B162">
        <v>164.47000122070301</v>
      </c>
      <c r="C162">
        <v>169.830001831055</v>
      </c>
      <c r="D162">
        <v>171.77999877929699</v>
      </c>
      <c r="E162">
        <v>169.77999877929699</v>
      </c>
      <c r="F162">
        <v>165.53999328613301</v>
      </c>
      <c r="G162">
        <v>179.02000427246099</v>
      </c>
      <c r="H162">
        <v>172.44000244140599</v>
      </c>
      <c r="I162">
        <v>174.25</v>
      </c>
      <c r="J162">
        <v>171.169998168945</v>
      </c>
      <c r="K162">
        <v>172.14999389648401</v>
      </c>
      <c r="L162">
        <v>168.41000366210901</v>
      </c>
      <c r="M162">
        <v>173.41000366210901</v>
      </c>
      <c r="N162">
        <v>162.86000061035199</v>
      </c>
      <c r="O162">
        <v>170.72000122070301</v>
      </c>
      <c r="P162">
        <v>169.21000671386699</v>
      </c>
      <c r="Q162">
        <v>164.77000427246099</v>
      </c>
      <c r="R162">
        <v>170.13000488281199</v>
      </c>
      <c r="S162">
        <v>176.24000549316401</v>
      </c>
      <c r="T162">
        <v>168.32000732421901</v>
      </c>
    </row>
    <row r="163" spans="1:20" x14ac:dyDescent="0.3">
      <c r="A163">
        <v>165.91000366210901</v>
      </c>
      <c r="B163">
        <v>171.92999267578099</v>
      </c>
      <c r="C163">
        <v>172.00999450683599</v>
      </c>
      <c r="D163">
        <v>167.99000549316401</v>
      </c>
      <c r="E163">
        <v>167.96000671386699</v>
      </c>
      <c r="F163">
        <v>166.24000549316401</v>
      </c>
      <c r="G163">
        <v>163.42999267578099</v>
      </c>
      <c r="H163">
        <v>166.36999511718801</v>
      </c>
      <c r="I163">
        <v>172.13000488281301</v>
      </c>
      <c r="J163">
        <v>168.05999755859401</v>
      </c>
      <c r="K163">
        <v>171.74000549316401</v>
      </c>
      <c r="L163">
        <v>175</v>
      </c>
      <c r="M163">
        <v>167.94000244140599</v>
      </c>
      <c r="N163">
        <v>170.88000488281301</v>
      </c>
      <c r="O163">
        <v>166.419998168945</v>
      </c>
      <c r="P163">
        <v>159.38999938964801</v>
      </c>
      <c r="Q163">
        <v>168.86999511718801</v>
      </c>
      <c r="R163">
        <v>168.21000671386699</v>
      </c>
      <c r="S163">
        <v>172.97999572753901</v>
      </c>
      <c r="T163">
        <v>165.02999877929699</v>
      </c>
    </row>
    <row r="164" spans="1:20" x14ac:dyDescent="0.3">
      <c r="A164">
        <v>176.60000610351599</v>
      </c>
      <c r="B164">
        <v>170.88999938964801</v>
      </c>
      <c r="C164">
        <v>166.97999572753901</v>
      </c>
      <c r="D164">
        <v>165.33999633789099</v>
      </c>
      <c r="E164">
        <v>168.69000244140599</v>
      </c>
      <c r="F164">
        <v>161.97000122070301</v>
      </c>
      <c r="G164">
        <v>168.41000366210901</v>
      </c>
      <c r="H164">
        <v>177.46000671386699</v>
      </c>
      <c r="I164">
        <v>172.83999633789099</v>
      </c>
      <c r="J164">
        <v>168.5</v>
      </c>
      <c r="K164">
        <v>168.66000366210901</v>
      </c>
      <c r="L164">
        <v>167.77000427246099</v>
      </c>
      <c r="M164">
        <v>166.55000305175801</v>
      </c>
      <c r="N164">
        <v>167.97000122070301</v>
      </c>
      <c r="O164">
        <v>169.22000122070301</v>
      </c>
      <c r="P164">
        <v>165.77000427246099</v>
      </c>
      <c r="Q164">
        <v>171.33999633789099</v>
      </c>
      <c r="R164">
        <v>177.88000488281301</v>
      </c>
      <c r="S164">
        <v>163.60000610351599</v>
      </c>
      <c r="T164">
        <v>172.96000671386699</v>
      </c>
    </row>
    <row r="165" spans="1:20" x14ac:dyDescent="0.3">
      <c r="A165">
        <v>162.86000061035199</v>
      </c>
      <c r="B165">
        <v>176.03999328613301</v>
      </c>
      <c r="C165">
        <v>170.83999633789099</v>
      </c>
      <c r="D165">
        <v>168.33999633789099</v>
      </c>
      <c r="E165">
        <v>175.88000488281301</v>
      </c>
      <c r="F165">
        <v>171.03999328613301</v>
      </c>
      <c r="G165">
        <v>169.669998168945</v>
      </c>
      <c r="H165">
        <v>173.85000610351599</v>
      </c>
      <c r="I165">
        <v>171.89999389648401</v>
      </c>
      <c r="J165">
        <v>174.42999267578099</v>
      </c>
      <c r="K165">
        <v>166.25999450683599</v>
      </c>
      <c r="L165">
        <v>174.47999572753901</v>
      </c>
      <c r="M165">
        <v>168.42999267578099</v>
      </c>
      <c r="N165">
        <v>171.69000244140599</v>
      </c>
      <c r="O165">
        <v>170.10000610351599</v>
      </c>
      <c r="P165">
        <v>163.75</v>
      </c>
      <c r="Q165">
        <v>170.96000671386699</v>
      </c>
      <c r="R165">
        <v>160.330001831055</v>
      </c>
      <c r="S165">
        <v>174.69999694824199</v>
      </c>
      <c r="T165">
        <v>175.13999938964801</v>
      </c>
    </row>
    <row r="166" spans="1:20" x14ac:dyDescent="0.3">
      <c r="A166">
        <v>173.36000061035199</v>
      </c>
      <c r="B166">
        <v>171.97000122070301</v>
      </c>
      <c r="C166">
        <v>175.07000732421901</v>
      </c>
      <c r="D166">
        <v>170.36999511718801</v>
      </c>
      <c r="E166">
        <v>167.83999633789099</v>
      </c>
      <c r="F166">
        <v>167.669998168945</v>
      </c>
      <c r="G166">
        <v>164.330001831055</v>
      </c>
      <c r="H166">
        <v>170.53999328613301</v>
      </c>
      <c r="I166">
        <v>169.25999450683599</v>
      </c>
      <c r="J166">
        <v>173.67999267578099</v>
      </c>
      <c r="K166">
        <v>171.28999328613301</v>
      </c>
      <c r="L166">
        <v>167.77999877929699</v>
      </c>
      <c r="M166">
        <v>167.11999511718801</v>
      </c>
      <c r="N166">
        <v>179.52000427246099</v>
      </c>
      <c r="O166">
        <v>177.42999267578099</v>
      </c>
      <c r="P166">
        <v>175.580001831055</v>
      </c>
      <c r="Q166">
        <v>170.919998168945</v>
      </c>
      <c r="R166">
        <v>170.669998168945</v>
      </c>
      <c r="S166">
        <v>172.27000427246099</v>
      </c>
      <c r="T166">
        <v>171.44999694824199</v>
      </c>
    </row>
    <row r="167" spans="1:20" x14ac:dyDescent="0.3">
      <c r="A167">
        <v>166.91000366210901</v>
      </c>
      <c r="B167">
        <v>166.89999389648401</v>
      </c>
      <c r="C167">
        <v>164.32000732421901</v>
      </c>
      <c r="D167">
        <v>171.49000549316401</v>
      </c>
      <c r="E167">
        <v>163</v>
      </c>
      <c r="F167">
        <v>171.69999694824199</v>
      </c>
      <c r="G167">
        <v>168.66000366210901</v>
      </c>
      <c r="H167">
        <v>167.22000122070301</v>
      </c>
      <c r="I167">
        <v>174.97000122070301</v>
      </c>
      <c r="J167">
        <v>165.74000549316401</v>
      </c>
      <c r="K167">
        <v>175.63000488281301</v>
      </c>
      <c r="L167">
        <v>166.94999694824199</v>
      </c>
      <c r="M167">
        <v>168.30999755859401</v>
      </c>
      <c r="N167">
        <v>170.53999328613301</v>
      </c>
      <c r="O167">
        <v>170.72000122070301</v>
      </c>
      <c r="P167">
        <v>172.19000244140599</v>
      </c>
      <c r="Q167">
        <v>168.53999328613301</v>
      </c>
      <c r="R167">
        <v>163.58999633789099</v>
      </c>
      <c r="S167">
        <v>167.44999694824199</v>
      </c>
      <c r="T167">
        <v>168.44000244140599</v>
      </c>
    </row>
    <row r="168" spans="1:20" x14ac:dyDescent="0.3">
      <c r="A168">
        <v>174.24000549316401</v>
      </c>
      <c r="B168">
        <v>170.46000671386699</v>
      </c>
      <c r="C168">
        <v>170.10000610351599</v>
      </c>
      <c r="D168">
        <v>172.11000061035199</v>
      </c>
      <c r="E168">
        <v>169.71000671386699</v>
      </c>
      <c r="F168">
        <v>166.36999511718801</v>
      </c>
      <c r="G168">
        <v>175.77999877929699</v>
      </c>
      <c r="H168">
        <v>169.919998168945</v>
      </c>
      <c r="I168">
        <v>171</v>
      </c>
      <c r="J168">
        <v>167.47000122070301</v>
      </c>
      <c r="K168">
        <v>166.03999328613301</v>
      </c>
      <c r="L168">
        <v>171.67999267578099</v>
      </c>
      <c r="M168">
        <v>171.60000610351599</v>
      </c>
      <c r="N168">
        <v>167.25999450683599</v>
      </c>
      <c r="O168">
        <v>174.36000061035199</v>
      </c>
      <c r="P168">
        <v>162.88000488281301</v>
      </c>
      <c r="Q168">
        <v>173.02000427246099</v>
      </c>
      <c r="R168">
        <v>175.24000549316401</v>
      </c>
      <c r="S168">
        <v>170.25</v>
      </c>
      <c r="T168">
        <v>161.02000427246099</v>
      </c>
    </row>
    <row r="169" spans="1:20" x14ac:dyDescent="0.3">
      <c r="A169">
        <v>171.69999694824199</v>
      </c>
      <c r="B169">
        <v>171.38999938964801</v>
      </c>
      <c r="C169">
        <v>168.57000732421901</v>
      </c>
      <c r="D169">
        <v>166.80999755859401</v>
      </c>
      <c r="E169">
        <v>171.94000244140599</v>
      </c>
      <c r="F169">
        <v>172.07000732421901</v>
      </c>
      <c r="G169">
        <v>173.50999450683599</v>
      </c>
      <c r="H169">
        <v>168.86000061035199</v>
      </c>
      <c r="I169">
        <v>168.94999694824199</v>
      </c>
      <c r="J169">
        <v>162.86999511718801</v>
      </c>
      <c r="K169">
        <v>169.94999694824199</v>
      </c>
      <c r="L169">
        <v>171.77999877929699</v>
      </c>
      <c r="M169">
        <v>172.19999694824199</v>
      </c>
      <c r="N169">
        <v>165.30000305175801</v>
      </c>
      <c r="O169">
        <v>171.39999389648401</v>
      </c>
      <c r="P169">
        <v>165.08999633789099</v>
      </c>
      <c r="Q169">
        <v>171.21000671386699</v>
      </c>
      <c r="R169">
        <v>168.85000610351599</v>
      </c>
      <c r="S169">
        <v>167.33999633789099</v>
      </c>
      <c r="T169">
        <v>174.27000427246099</v>
      </c>
    </row>
    <row r="170" spans="1:20" x14ac:dyDescent="0.3">
      <c r="A170">
        <v>171.00999450683599</v>
      </c>
      <c r="B170">
        <v>163.35000610351599</v>
      </c>
      <c r="C170">
        <v>162.28999328613301</v>
      </c>
      <c r="D170">
        <v>174.03999328613301</v>
      </c>
      <c r="E170">
        <v>171.05999755859401</v>
      </c>
      <c r="F170">
        <v>172.05999755859401</v>
      </c>
      <c r="G170">
        <v>178</v>
      </c>
      <c r="H170">
        <v>168.10000610351599</v>
      </c>
      <c r="I170">
        <v>163.80000305175801</v>
      </c>
      <c r="J170">
        <v>172.83999633789099</v>
      </c>
      <c r="K170">
        <v>173.14999389648401</v>
      </c>
      <c r="L170">
        <v>172.97000122070301</v>
      </c>
      <c r="M170">
        <v>170.74000549316401</v>
      </c>
      <c r="N170">
        <v>175.17999267578099</v>
      </c>
      <c r="O170">
        <v>169.25</v>
      </c>
      <c r="P170">
        <v>170.16000366210901</v>
      </c>
      <c r="Q170">
        <v>169.36999511718801</v>
      </c>
      <c r="R170">
        <v>160.58999633789099</v>
      </c>
      <c r="S170">
        <v>167.77999877929699</v>
      </c>
      <c r="T170">
        <v>173.16000366210901</v>
      </c>
    </row>
    <row r="171" spans="1:20" x14ac:dyDescent="0.3">
      <c r="A171">
        <v>169.07000732421901</v>
      </c>
      <c r="B171">
        <v>166.61999511718801</v>
      </c>
      <c r="C171">
        <v>169.96000671386699</v>
      </c>
      <c r="D171">
        <v>165.91000366210901</v>
      </c>
      <c r="E171">
        <v>163.57000732421901</v>
      </c>
      <c r="F171">
        <v>170.27000427246099</v>
      </c>
      <c r="G171">
        <v>167.58999633789099</v>
      </c>
      <c r="H171">
        <v>167.36999511718801</v>
      </c>
      <c r="I171">
        <v>171.69999694824199</v>
      </c>
      <c r="J171">
        <v>164.919998168945</v>
      </c>
      <c r="K171">
        <v>173.60000610351599</v>
      </c>
      <c r="L171">
        <v>166.58999633789099</v>
      </c>
      <c r="M171">
        <v>162.97000122070301</v>
      </c>
      <c r="N171">
        <v>168.07000732421901</v>
      </c>
      <c r="O171">
        <v>169.49000549316401</v>
      </c>
      <c r="P171">
        <v>169.05000305175801</v>
      </c>
      <c r="Q171">
        <v>170.86000061035199</v>
      </c>
      <c r="R171">
        <v>173.22999572753901</v>
      </c>
      <c r="S171">
        <v>176.75999450683599</v>
      </c>
      <c r="T171">
        <v>172.27999877929699</v>
      </c>
    </row>
    <row r="172" spans="1:20" x14ac:dyDescent="0.3">
      <c r="A172">
        <v>173.63999938964801</v>
      </c>
      <c r="B172">
        <v>173.88999938964801</v>
      </c>
      <c r="C172">
        <v>172.16000366210901</v>
      </c>
      <c r="D172">
        <v>169.91000366210901</v>
      </c>
      <c r="E172">
        <v>170.86999511718801</v>
      </c>
      <c r="F172">
        <v>168.99000549316401</v>
      </c>
      <c r="G172">
        <v>172.47999572753901</v>
      </c>
      <c r="H172">
        <v>183.80000305175801</v>
      </c>
      <c r="I172">
        <v>163.669998168945</v>
      </c>
      <c r="J172">
        <v>167.03999328613301</v>
      </c>
      <c r="K172">
        <v>171.11999511718801</v>
      </c>
      <c r="L172">
        <v>167.38000488281301</v>
      </c>
      <c r="M172">
        <v>177.52999877929699</v>
      </c>
      <c r="N172">
        <v>169.52000427246099</v>
      </c>
      <c r="O172">
        <v>165.580001831055</v>
      </c>
      <c r="P172">
        <v>166.14999389648401</v>
      </c>
      <c r="Q172">
        <v>165.96000671386699</v>
      </c>
      <c r="R172">
        <v>165.94999694824199</v>
      </c>
      <c r="S172">
        <v>169.35000610351599</v>
      </c>
      <c r="T172">
        <v>169.61000061035199</v>
      </c>
    </row>
    <row r="173" spans="1:20" x14ac:dyDescent="0.3">
      <c r="A173">
        <v>169.14999389648401</v>
      </c>
      <c r="B173">
        <v>163.96000671386699</v>
      </c>
      <c r="C173">
        <v>173.11000061035199</v>
      </c>
      <c r="D173">
        <v>166.67999267578099</v>
      </c>
      <c r="E173">
        <v>177</v>
      </c>
      <c r="F173">
        <v>166.669998168945</v>
      </c>
      <c r="G173">
        <v>168.52000427246099</v>
      </c>
      <c r="H173">
        <v>169.63999938964801</v>
      </c>
      <c r="I173">
        <v>171.36000061035199</v>
      </c>
      <c r="J173">
        <v>169.25999450683599</v>
      </c>
      <c r="K173">
        <v>169.19000244140599</v>
      </c>
      <c r="L173">
        <v>171.22999572753901</v>
      </c>
      <c r="M173">
        <v>177.72000122070301</v>
      </c>
      <c r="N173">
        <v>173.22999572753901</v>
      </c>
      <c r="O173">
        <v>164.61999511718801</v>
      </c>
      <c r="P173">
        <v>172.96000671386699</v>
      </c>
      <c r="Q173">
        <v>169.580001831055</v>
      </c>
      <c r="R173">
        <v>168.080001831055</v>
      </c>
      <c r="S173">
        <v>164.30000305175801</v>
      </c>
      <c r="T173">
        <v>168.30999755859401</v>
      </c>
    </row>
    <row r="174" spans="1:20" x14ac:dyDescent="0.3">
      <c r="A174">
        <v>170.38999938964801</v>
      </c>
      <c r="B174">
        <v>167.55999755859401</v>
      </c>
      <c r="C174">
        <v>174.42999267578099</v>
      </c>
      <c r="D174">
        <v>171.72000122070301</v>
      </c>
      <c r="E174">
        <v>170.38999938964801</v>
      </c>
      <c r="F174">
        <v>167.64999389648401</v>
      </c>
      <c r="G174">
        <v>166.96000671386699</v>
      </c>
      <c r="H174">
        <v>170.02999877929699</v>
      </c>
      <c r="I174">
        <v>176.830001831055</v>
      </c>
      <c r="J174">
        <v>169.55999755859401</v>
      </c>
      <c r="K174">
        <v>172.67999267578099</v>
      </c>
      <c r="L174">
        <v>172.91000366210901</v>
      </c>
      <c r="M174">
        <v>167.21000671386699</v>
      </c>
      <c r="N174">
        <v>170.78999328613301</v>
      </c>
      <c r="O174">
        <v>169.10000610351599</v>
      </c>
      <c r="P174">
        <v>165.86000061035199</v>
      </c>
      <c r="Q174">
        <v>175.03999328613301</v>
      </c>
      <c r="R174">
        <v>164.830001831055</v>
      </c>
      <c r="S174">
        <v>177.71000671386699</v>
      </c>
      <c r="T174">
        <v>166.38000488281301</v>
      </c>
    </row>
    <row r="175" spans="1:20" x14ac:dyDescent="0.3">
      <c r="A175">
        <v>176.30999755859401</v>
      </c>
      <c r="B175">
        <v>165.02000427246099</v>
      </c>
      <c r="C175">
        <v>164.88000488281301</v>
      </c>
      <c r="D175">
        <v>161.21000671386699</v>
      </c>
      <c r="E175">
        <v>169.60000610351599</v>
      </c>
      <c r="F175">
        <v>171.89999389648401</v>
      </c>
      <c r="G175">
        <v>168.169998168945</v>
      </c>
      <c r="H175">
        <v>172.77000427246099</v>
      </c>
      <c r="I175">
        <v>166.27999877929699</v>
      </c>
      <c r="J175">
        <v>163.52000427246099</v>
      </c>
      <c r="K175">
        <v>169.60000610351599</v>
      </c>
      <c r="L175">
        <v>167.83999633789099</v>
      </c>
      <c r="M175">
        <v>159.830001831055</v>
      </c>
      <c r="N175">
        <v>165.41000366210901</v>
      </c>
      <c r="O175">
        <v>170.64999389648401</v>
      </c>
      <c r="P175">
        <v>167.91000366210901</v>
      </c>
      <c r="Q175">
        <v>175.75999450683599</v>
      </c>
      <c r="R175">
        <v>171.03999328613301</v>
      </c>
      <c r="S175">
        <v>168.83999633789099</v>
      </c>
      <c r="T175">
        <v>170.47999572753901</v>
      </c>
    </row>
    <row r="176" spans="1:20" x14ac:dyDescent="0.3">
      <c r="A176">
        <v>163.74000549316401</v>
      </c>
      <c r="B176">
        <v>172.10000610351599</v>
      </c>
      <c r="C176">
        <v>174.10000610351599</v>
      </c>
      <c r="D176">
        <v>177.69999694824199</v>
      </c>
      <c r="E176">
        <v>173.10000610351599</v>
      </c>
      <c r="F176">
        <v>168.77999877929699</v>
      </c>
      <c r="G176">
        <v>163.44000244140599</v>
      </c>
      <c r="H176">
        <v>170.02999877929699</v>
      </c>
      <c r="I176">
        <v>171.77999877929699</v>
      </c>
      <c r="J176">
        <v>162.14999389648401</v>
      </c>
      <c r="K176">
        <v>168.83999633789099</v>
      </c>
      <c r="L176">
        <v>177.80999755859401</v>
      </c>
      <c r="M176">
        <v>165.27999877929699</v>
      </c>
      <c r="N176">
        <v>177.71000671386699</v>
      </c>
      <c r="O176">
        <v>163.80000305175801</v>
      </c>
      <c r="P176">
        <v>166.52999877929699</v>
      </c>
      <c r="Q176">
        <v>175.08999633789099</v>
      </c>
      <c r="R176">
        <v>168.96000671386699</v>
      </c>
      <c r="S176">
        <v>173.83999633789099</v>
      </c>
      <c r="T176">
        <v>173.69000244140599</v>
      </c>
    </row>
    <row r="177" spans="1:20" x14ac:dyDescent="0.3">
      <c r="A177">
        <v>181.16000366210901</v>
      </c>
      <c r="B177">
        <v>169.67999267578099</v>
      </c>
      <c r="C177">
        <v>166.38999938964801</v>
      </c>
      <c r="D177">
        <v>171.88000488281301</v>
      </c>
      <c r="E177">
        <v>168.99000549316401</v>
      </c>
      <c r="F177">
        <v>170.80999755859401</v>
      </c>
      <c r="G177">
        <v>164.66000366210901</v>
      </c>
      <c r="H177">
        <v>168.13999938964801</v>
      </c>
      <c r="I177">
        <v>165.080001831055</v>
      </c>
      <c r="J177">
        <v>169.55999755859401</v>
      </c>
      <c r="K177">
        <v>165.92999267578099</v>
      </c>
      <c r="L177">
        <v>168.77000427246099</v>
      </c>
      <c r="M177">
        <v>170.91000366210901</v>
      </c>
      <c r="N177">
        <v>175.44999694824199</v>
      </c>
      <c r="O177">
        <v>175.71000671386699</v>
      </c>
      <c r="P177">
        <v>175.27999877929699</v>
      </c>
      <c r="Q177">
        <v>172.00999450683599</v>
      </c>
      <c r="R177">
        <v>173.96000671386699</v>
      </c>
      <c r="S177">
        <v>167.49000549316401</v>
      </c>
      <c r="T177">
        <v>173.17999267578099</v>
      </c>
    </row>
    <row r="178" spans="1:20" x14ac:dyDescent="0.3">
      <c r="A178">
        <v>166.44000244140599</v>
      </c>
      <c r="B178">
        <v>165.52000427246099</v>
      </c>
      <c r="C178">
        <v>166.419998168945</v>
      </c>
      <c r="D178">
        <v>168.33999633789099</v>
      </c>
      <c r="E178">
        <v>172.75999450683599</v>
      </c>
      <c r="F178">
        <v>171.36999511718801</v>
      </c>
      <c r="G178">
        <v>174.14999389648401</v>
      </c>
      <c r="H178">
        <v>173.28999328613301</v>
      </c>
      <c r="I178">
        <v>175.27000427246099</v>
      </c>
      <c r="J178">
        <v>172.78999328613301</v>
      </c>
      <c r="K178">
        <v>168.82000732421901</v>
      </c>
      <c r="L178">
        <v>172.55999755859401</v>
      </c>
      <c r="M178">
        <v>175.47000122070301</v>
      </c>
      <c r="N178">
        <v>167.27999877929699</v>
      </c>
      <c r="O178">
        <v>167.92999267578099</v>
      </c>
      <c r="P178">
        <v>175.63999938964801</v>
      </c>
      <c r="Q178">
        <v>166.86999511718801</v>
      </c>
      <c r="R178">
        <v>172.330001831055</v>
      </c>
      <c r="S178">
        <v>172.97999572753901</v>
      </c>
      <c r="T178">
        <v>172.03999328613301</v>
      </c>
    </row>
    <row r="179" spans="1:20" x14ac:dyDescent="0.3">
      <c r="A179">
        <v>164.57000732421901</v>
      </c>
      <c r="B179">
        <v>164.03999328613301</v>
      </c>
      <c r="C179">
        <v>165.00999450683599</v>
      </c>
      <c r="D179">
        <v>167.30999755859401</v>
      </c>
      <c r="E179">
        <v>169.02999877929699</v>
      </c>
      <c r="F179">
        <v>170.52000427246099</v>
      </c>
      <c r="G179">
        <v>174.33999633789099</v>
      </c>
      <c r="H179">
        <v>173.35000610351599</v>
      </c>
      <c r="I179">
        <v>170.61999511718801</v>
      </c>
      <c r="J179">
        <v>167.5</v>
      </c>
      <c r="K179">
        <v>163.55999755859401</v>
      </c>
      <c r="L179">
        <v>168.64999389648401</v>
      </c>
      <c r="M179">
        <v>178.83999633789099</v>
      </c>
      <c r="N179">
        <v>176.47999572753901</v>
      </c>
      <c r="O179">
        <v>174.16000366210901</v>
      </c>
      <c r="P179">
        <v>162.69999694824199</v>
      </c>
      <c r="Q179">
        <v>171.19000244140599</v>
      </c>
      <c r="R179">
        <v>170.97000122070301</v>
      </c>
      <c r="S179">
        <v>163.63000488281301</v>
      </c>
      <c r="T179">
        <v>173</v>
      </c>
    </row>
    <row r="180" spans="1:20" x14ac:dyDescent="0.3">
      <c r="A180">
        <v>177.47000122070301</v>
      </c>
      <c r="B180">
        <v>172.05000305175801</v>
      </c>
      <c r="C180">
        <v>164.86999511718801</v>
      </c>
      <c r="D180">
        <v>166.39999389648401</v>
      </c>
      <c r="E180">
        <v>165.33999633789099</v>
      </c>
      <c r="F180">
        <v>168.669998168945</v>
      </c>
      <c r="G180">
        <v>169.58999633789099</v>
      </c>
      <c r="H180">
        <v>163.55000305175801</v>
      </c>
      <c r="I180">
        <v>172.27999877929699</v>
      </c>
      <c r="J180">
        <v>171.74000549316401</v>
      </c>
      <c r="K180">
        <v>176.11999511718801</v>
      </c>
      <c r="L180">
        <v>165.89999389648401</v>
      </c>
      <c r="M180">
        <v>171.78999328613301</v>
      </c>
      <c r="N180">
        <v>174.74000549316401</v>
      </c>
      <c r="O180">
        <v>169.97000122070301</v>
      </c>
      <c r="P180">
        <v>170.94000244140599</v>
      </c>
      <c r="Q180">
        <v>173.36000061035199</v>
      </c>
      <c r="R180">
        <v>175.19000244140599</v>
      </c>
      <c r="S180">
        <v>168.63999938964801</v>
      </c>
      <c r="T180">
        <v>168.169998168945</v>
      </c>
    </row>
    <row r="181" spans="1:20" x14ac:dyDescent="0.3">
      <c r="A181">
        <v>177.66000366210901</v>
      </c>
      <c r="B181">
        <v>168.47999572753901</v>
      </c>
      <c r="C181">
        <v>166.35000610351599</v>
      </c>
      <c r="D181">
        <v>174.36000061035199</v>
      </c>
      <c r="E181">
        <v>177.85000610351599</v>
      </c>
      <c r="F181">
        <v>164.39999389648401</v>
      </c>
      <c r="G181">
        <v>171.85000610351599</v>
      </c>
      <c r="H181">
        <v>172.27999877929699</v>
      </c>
      <c r="I181">
        <v>164.03999328613301</v>
      </c>
      <c r="J181">
        <v>167.69999694824199</v>
      </c>
      <c r="K181">
        <v>166.10000610351599</v>
      </c>
      <c r="L181">
        <v>172.330001831055</v>
      </c>
      <c r="M181">
        <v>165.72999572753901</v>
      </c>
      <c r="N181">
        <v>167.86999511718801</v>
      </c>
      <c r="O181">
        <v>174.61000061035199</v>
      </c>
      <c r="P181">
        <v>172.00999450683599</v>
      </c>
      <c r="Q181">
        <v>172.419998168945</v>
      </c>
      <c r="R181">
        <v>174.42999267578099</v>
      </c>
      <c r="S181">
        <v>162.86999511718801</v>
      </c>
      <c r="T181">
        <v>172.82000732421901</v>
      </c>
    </row>
    <row r="182" spans="1:20" x14ac:dyDescent="0.3">
      <c r="A182">
        <v>170.080001831055</v>
      </c>
      <c r="B182">
        <v>166.17999267578099</v>
      </c>
      <c r="C182">
        <v>165.19000244140599</v>
      </c>
      <c r="D182">
        <v>168.85000610351599</v>
      </c>
      <c r="E182">
        <v>169.10000610351599</v>
      </c>
      <c r="F182">
        <v>172.169998168945</v>
      </c>
      <c r="G182">
        <v>174.5</v>
      </c>
      <c r="H182">
        <v>170.80999755859401</v>
      </c>
      <c r="I182">
        <v>174.05999755859401</v>
      </c>
      <c r="J182">
        <v>171.47000122070301</v>
      </c>
      <c r="K182">
        <v>164.49000549316401</v>
      </c>
      <c r="L182">
        <v>164.830001831055</v>
      </c>
      <c r="M182">
        <v>162.46000671386699</v>
      </c>
      <c r="N182">
        <v>169.58999633789099</v>
      </c>
      <c r="O182">
        <v>168.669998168945</v>
      </c>
      <c r="P182">
        <v>164.42999267578099</v>
      </c>
      <c r="Q182">
        <v>167.80999755859401</v>
      </c>
      <c r="R182">
        <v>168.02999877929699</v>
      </c>
      <c r="S182">
        <v>176.55000305175801</v>
      </c>
      <c r="T182">
        <v>167.080001831055</v>
      </c>
    </row>
    <row r="183" spans="1:20" x14ac:dyDescent="0.3">
      <c r="A183">
        <v>165.80000305175801</v>
      </c>
      <c r="B183">
        <v>165.61000061035199</v>
      </c>
      <c r="C183">
        <v>170.27999877929699</v>
      </c>
      <c r="D183">
        <v>166.14999389648401</v>
      </c>
      <c r="E183">
        <v>165.80000305175801</v>
      </c>
      <c r="F183">
        <v>168.07000732421901</v>
      </c>
      <c r="G183">
        <v>174.03999328613301</v>
      </c>
      <c r="H183">
        <v>167.05000305175801</v>
      </c>
      <c r="I183">
        <v>168.67999267578099</v>
      </c>
      <c r="J183">
        <v>166.77999877929699</v>
      </c>
      <c r="K183">
        <v>163.419998168945</v>
      </c>
      <c r="L183">
        <v>166.94999694824199</v>
      </c>
      <c r="M183">
        <v>175.94000244140599</v>
      </c>
      <c r="N183">
        <v>163.24000549316401</v>
      </c>
      <c r="O183">
        <v>171.92999267578099</v>
      </c>
      <c r="P183">
        <v>167.35000610351599</v>
      </c>
      <c r="Q183">
        <v>169.080001831055</v>
      </c>
      <c r="R183">
        <v>166.96000671386699</v>
      </c>
      <c r="S183">
        <v>173.07000732421901</v>
      </c>
      <c r="T183">
        <v>169.75999450683599</v>
      </c>
    </row>
    <row r="184" spans="1:20" x14ac:dyDescent="0.3">
      <c r="A184">
        <v>167.77000427246099</v>
      </c>
      <c r="B184">
        <v>172.64999389648401</v>
      </c>
      <c r="C184">
        <v>169.38999938964801</v>
      </c>
      <c r="D184">
        <v>170.94999694824199</v>
      </c>
      <c r="E184">
        <v>168.52999877929699</v>
      </c>
      <c r="F184">
        <v>171.60000610351599</v>
      </c>
      <c r="G184">
        <v>171.86999511718801</v>
      </c>
      <c r="H184">
        <v>159.30000305175801</v>
      </c>
      <c r="I184">
        <v>166.10000610351599</v>
      </c>
      <c r="J184">
        <v>166.74000549316401</v>
      </c>
      <c r="K184">
        <v>169.919998168945</v>
      </c>
      <c r="L184">
        <v>166.60000610351599</v>
      </c>
      <c r="M184">
        <v>165.99000549316401</v>
      </c>
      <c r="N184">
        <v>167.57000732421901</v>
      </c>
      <c r="O184">
        <v>169.02999877929699</v>
      </c>
      <c r="P184">
        <v>162.330001831055</v>
      </c>
      <c r="Q184">
        <v>169.69999694824199</v>
      </c>
      <c r="R184">
        <v>167.58999633789099</v>
      </c>
      <c r="S184">
        <v>174.69999694824199</v>
      </c>
      <c r="T184">
        <v>168.00999450683599</v>
      </c>
    </row>
    <row r="185" spans="1:20" x14ac:dyDescent="0.3">
      <c r="A185">
        <v>168.60000610351599</v>
      </c>
      <c r="B185">
        <v>172.30999755859401</v>
      </c>
      <c r="C185">
        <v>166.92999267578099</v>
      </c>
      <c r="D185">
        <v>166.05000305175801</v>
      </c>
      <c r="E185">
        <v>173.50999450683599</v>
      </c>
      <c r="F185">
        <v>171.38999938964801</v>
      </c>
      <c r="G185">
        <v>168.02999877929699</v>
      </c>
      <c r="H185">
        <v>170.00999450683599</v>
      </c>
      <c r="I185">
        <v>174.17999267578099</v>
      </c>
      <c r="J185">
        <v>163.61000061035199</v>
      </c>
      <c r="K185">
        <v>167.63999938964801</v>
      </c>
      <c r="L185">
        <v>165.86000061035199</v>
      </c>
      <c r="M185">
        <v>168.10000610351599</v>
      </c>
      <c r="N185">
        <v>166.44999694824199</v>
      </c>
      <c r="O185">
        <v>171.25</v>
      </c>
      <c r="P185">
        <v>171.080001831055</v>
      </c>
      <c r="Q185">
        <v>172.77000427246099</v>
      </c>
      <c r="R185">
        <v>173.419998168945</v>
      </c>
      <c r="S185">
        <v>172.36000061035199</v>
      </c>
      <c r="T185">
        <v>163.17999267578099</v>
      </c>
    </row>
    <row r="186" spans="1:20" x14ac:dyDescent="0.3">
      <c r="A186">
        <v>176.27000427246099</v>
      </c>
      <c r="B186">
        <v>166.47000122070301</v>
      </c>
      <c r="C186">
        <v>169.69999694824199</v>
      </c>
      <c r="D186">
        <v>170.17999267578099</v>
      </c>
      <c r="E186">
        <v>166.36000061035199</v>
      </c>
      <c r="F186">
        <v>166.97000122070301</v>
      </c>
      <c r="G186">
        <v>170.94999694824199</v>
      </c>
      <c r="H186">
        <v>167.52000427246099</v>
      </c>
      <c r="I186">
        <v>168.14999389648401</v>
      </c>
      <c r="J186">
        <v>166.52999877929699</v>
      </c>
      <c r="K186">
        <v>174.63999938964801</v>
      </c>
      <c r="L186">
        <v>162.67999267578099</v>
      </c>
      <c r="M186">
        <v>167.11999511718801</v>
      </c>
      <c r="N186">
        <v>170.66000366210901</v>
      </c>
      <c r="O186">
        <v>166.27000427246099</v>
      </c>
      <c r="P186">
        <v>173.16000366210901</v>
      </c>
      <c r="Q186">
        <v>172.78999328613301</v>
      </c>
      <c r="R186">
        <v>164.86000061035199</v>
      </c>
      <c r="S186">
        <v>171.35000610351599</v>
      </c>
      <c r="T186">
        <v>172.44999694824199</v>
      </c>
    </row>
    <row r="187" spans="1:20" x14ac:dyDescent="0.3">
      <c r="A187">
        <v>171.92999267578099</v>
      </c>
      <c r="B187">
        <v>163.67999267578099</v>
      </c>
      <c r="C187">
        <v>168.64999389648401</v>
      </c>
      <c r="D187">
        <v>167.67999267578099</v>
      </c>
      <c r="E187">
        <v>167.83999633789099</v>
      </c>
      <c r="F187">
        <v>174.49000549316401</v>
      </c>
      <c r="G187">
        <v>163.19000244140599</v>
      </c>
      <c r="H187">
        <v>167.80000305175801</v>
      </c>
      <c r="I187">
        <v>164.38999938964801</v>
      </c>
      <c r="J187">
        <v>167.30000305175801</v>
      </c>
      <c r="K187">
        <v>165.11999511718801</v>
      </c>
      <c r="L187">
        <v>172.67999267578099</v>
      </c>
      <c r="M187">
        <v>167.07000732421901</v>
      </c>
      <c r="N187">
        <v>171.61999511718801</v>
      </c>
      <c r="O187">
        <v>167.919998168945</v>
      </c>
      <c r="P187">
        <v>171.80999755859401</v>
      </c>
      <c r="Q187">
        <v>173.36999511718801</v>
      </c>
      <c r="R187">
        <v>164.94000244140599</v>
      </c>
      <c r="S187">
        <v>169.10000610351599</v>
      </c>
      <c r="T187">
        <v>170.69000244140599</v>
      </c>
    </row>
    <row r="188" spans="1:20" x14ac:dyDescent="0.3">
      <c r="A188">
        <v>167.580001831055</v>
      </c>
      <c r="B188">
        <v>164.86000061035199</v>
      </c>
      <c r="C188">
        <v>168.61000061035199</v>
      </c>
      <c r="D188">
        <v>170.28999328613301</v>
      </c>
      <c r="E188">
        <v>171.60000610351599</v>
      </c>
      <c r="F188">
        <v>168.50999450683599</v>
      </c>
      <c r="G188">
        <v>163.22999572753901</v>
      </c>
      <c r="H188">
        <v>172.21000671386699</v>
      </c>
      <c r="I188">
        <v>166.17999267578099</v>
      </c>
      <c r="J188">
        <v>170.08999633789099</v>
      </c>
      <c r="K188">
        <v>171.16000366210901</v>
      </c>
      <c r="L188">
        <v>166.830001831055</v>
      </c>
      <c r="M188">
        <v>172.830001831055</v>
      </c>
      <c r="N188">
        <v>167.11999511718801</v>
      </c>
      <c r="O188">
        <v>173.89999389648401</v>
      </c>
      <c r="P188">
        <v>171.63999938964801</v>
      </c>
      <c r="Q188">
        <v>173.05000305175801</v>
      </c>
      <c r="R188">
        <v>169.08999633789099</v>
      </c>
      <c r="S188">
        <v>172.97000122070301</v>
      </c>
      <c r="T188">
        <v>172.13999938964801</v>
      </c>
    </row>
    <row r="189" spans="1:20" x14ac:dyDescent="0.3">
      <c r="A189">
        <v>167.89999389648401</v>
      </c>
      <c r="B189">
        <v>169.10000610351599</v>
      </c>
      <c r="C189">
        <v>170.05999755859401</v>
      </c>
      <c r="D189">
        <v>170.88999938964801</v>
      </c>
      <c r="E189">
        <v>173.919998168945</v>
      </c>
      <c r="F189">
        <v>171.72000122070301</v>
      </c>
      <c r="G189">
        <v>171.14999389648401</v>
      </c>
      <c r="H189">
        <v>169.27000427246099</v>
      </c>
      <c r="I189">
        <v>169.44000244140599</v>
      </c>
      <c r="J189">
        <v>165.22999572753901</v>
      </c>
      <c r="K189">
        <v>176.47999572753901</v>
      </c>
      <c r="L189">
        <v>169.27999877929699</v>
      </c>
      <c r="M189">
        <v>167.96000671386699</v>
      </c>
      <c r="N189">
        <v>171.11000061035199</v>
      </c>
      <c r="O189">
        <v>167.57000732421901</v>
      </c>
      <c r="P189">
        <v>172.419998168945</v>
      </c>
      <c r="Q189">
        <v>174.99000549316401</v>
      </c>
      <c r="R189">
        <v>166.88000488281301</v>
      </c>
      <c r="S189">
        <v>169.91000366210901</v>
      </c>
      <c r="T189">
        <v>168.17999267578099</v>
      </c>
    </row>
    <row r="190" spans="1:20" x14ac:dyDescent="0.3">
      <c r="A190">
        <v>171.94000244140599</v>
      </c>
      <c r="B190">
        <v>167.330001831055</v>
      </c>
      <c r="C190">
        <v>166.86999511718801</v>
      </c>
      <c r="D190">
        <v>169.27000427246099</v>
      </c>
      <c r="E190">
        <v>171.47999572753901</v>
      </c>
      <c r="F190">
        <v>180.72000122070301</v>
      </c>
      <c r="G190">
        <v>166.44000244140599</v>
      </c>
      <c r="H190">
        <v>168.36999511718801</v>
      </c>
      <c r="I190">
        <v>168.46000671386699</v>
      </c>
      <c r="J190">
        <v>162.919998168945</v>
      </c>
      <c r="K190">
        <v>166.21000671386699</v>
      </c>
      <c r="L190">
        <v>159.03999328613301</v>
      </c>
      <c r="M190">
        <v>172.38000488281301</v>
      </c>
      <c r="N190">
        <v>179.42999267578099</v>
      </c>
      <c r="O190">
        <v>163.66000366210901</v>
      </c>
      <c r="P190">
        <v>166.77999877929699</v>
      </c>
      <c r="Q190">
        <v>168.74000549316401</v>
      </c>
      <c r="R190">
        <v>163.75999450683599</v>
      </c>
      <c r="S190">
        <v>168.30999755859401</v>
      </c>
      <c r="T190">
        <v>165.080001831055</v>
      </c>
    </row>
    <row r="191" spans="1:20" x14ac:dyDescent="0.3">
      <c r="A191">
        <v>166.88999938964801</v>
      </c>
      <c r="B191">
        <v>164.17999267578099</v>
      </c>
      <c r="C191">
        <v>172.03999328613301</v>
      </c>
      <c r="D191">
        <v>169.82000732421901</v>
      </c>
      <c r="E191">
        <v>163.10000610351599</v>
      </c>
      <c r="F191">
        <v>171.71000671386699</v>
      </c>
      <c r="G191">
        <v>173.75</v>
      </c>
      <c r="H191">
        <v>173.55000305175801</v>
      </c>
      <c r="I191">
        <v>169.69000244140599</v>
      </c>
      <c r="J191">
        <v>167.00999450683599</v>
      </c>
      <c r="K191">
        <v>176.58999633789099</v>
      </c>
      <c r="L191">
        <v>163.77999877929699</v>
      </c>
      <c r="M191">
        <v>168.14999389648401</v>
      </c>
      <c r="N191">
        <v>163.55000305175801</v>
      </c>
      <c r="O191">
        <v>174.05999755859401</v>
      </c>
      <c r="P191">
        <v>166.00999450683599</v>
      </c>
      <c r="Q191">
        <v>164</v>
      </c>
      <c r="R191">
        <v>170.85000610351599</v>
      </c>
      <c r="S191">
        <v>171.66000366210901</v>
      </c>
      <c r="T191">
        <v>169.75</v>
      </c>
    </row>
    <row r="192" spans="1:20" x14ac:dyDescent="0.3">
      <c r="A192">
        <v>173.83999633789099</v>
      </c>
      <c r="B192">
        <v>179.61999511718801</v>
      </c>
      <c r="C192">
        <v>175.47000122070301</v>
      </c>
      <c r="D192">
        <v>167.36000061035199</v>
      </c>
      <c r="E192">
        <v>167.49000549316401</v>
      </c>
      <c r="F192">
        <v>174.330001831055</v>
      </c>
      <c r="G192">
        <v>168.58999633789099</v>
      </c>
      <c r="H192">
        <v>169.22999572753901</v>
      </c>
      <c r="I192">
        <v>169.46000671386699</v>
      </c>
      <c r="J192">
        <v>168.74000549316401</v>
      </c>
      <c r="K192">
        <v>168.77999877929699</v>
      </c>
      <c r="L192">
        <v>169.55000305175801</v>
      </c>
      <c r="M192">
        <v>169.24000549316401</v>
      </c>
      <c r="N192">
        <v>168.33999633789099</v>
      </c>
      <c r="O192">
        <v>165.53999328613301</v>
      </c>
      <c r="P192">
        <v>173.80000305175801</v>
      </c>
      <c r="Q192">
        <v>172.35000610351599</v>
      </c>
      <c r="R192">
        <v>174.63000488281301</v>
      </c>
      <c r="S192">
        <v>176.36000061035199</v>
      </c>
      <c r="T192">
        <v>171.5</v>
      </c>
    </row>
    <row r="193" spans="1:20" x14ac:dyDescent="0.3">
      <c r="A193">
        <v>169.50999450683599</v>
      </c>
      <c r="B193">
        <v>166.77999877929699</v>
      </c>
      <c r="C193">
        <v>169.69000244140599</v>
      </c>
      <c r="D193">
        <v>168.82000732421901</v>
      </c>
      <c r="E193">
        <v>169</v>
      </c>
      <c r="F193">
        <v>165.330001831055</v>
      </c>
      <c r="G193">
        <v>175.13000488281301</v>
      </c>
      <c r="H193">
        <v>165.99000549316401</v>
      </c>
      <c r="I193">
        <v>163.75</v>
      </c>
      <c r="J193">
        <v>168.5</v>
      </c>
      <c r="K193">
        <v>170.57000732421901</v>
      </c>
      <c r="L193">
        <v>174.53999328613301</v>
      </c>
      <c r="M193">
        <v>167.25999450683599</v>
      </c>
      <c r="N193">
        <v>173.80000305175801</v>
      </c>
      <c r="O193">
        <v>165.50999450683599</v>
      </c>
      <c r="P193">
        <v>163.97000122070301</v>
      </c>
      <c r="Q193">
        <v>165.00999450683599</v>
      </c>
      <c r="R193">
        <v>170.72999572753901</v>
      </c>
      <c r="S193">
        <v>177.44999694824199</v>
      </c>
      <c r="T193">
        <v>171.77000427246099</v>
      </c>
    </row>
    <row r="194" spans="1:20" x14ac:dyDescent="0.3">
      <c r="A194">
        <v>160.02000427246099</v>
      </c>
      <c r="B194">
        <v>169.71000671386699</v>
      </c>
      <c r="C194">
        <v>171.64999389648401</v>
      </c>
      <c r="D194">
        <v>171.05000305175801</v>
      </c>
      <c r="E194">
        <v>167.38000488281301</v>
      </c>
      <c r="F194">
        <v>166.35000610351599</v>
      </c>
      <c r="G194">
        <v>167.91000366210901</v>
      </c>
      <c r="H194">
        <v>166.28999328613301</v>
      </c>
      <c r="I194">
        <v>165.92999267578099</v>
      </c>
      <c r="J194">
        <v>173.55999755859401</v>
      </c>
      <c r="K194">
        <v>178.11999511718801</v>
      </c>
      <c r="L194">
        <v>170.83999633789099</v>
      </c>
      <c r="M194">
        <v>173.17999267578099</v>
      </c>
      <c r="N194">
        <v>176.830001831055</v>
      </c>
      <c r="O194">
        <v>167.77999877929699</v>
      </c>
      <c r="P194">
        <v>174.21000671386699</v>
      </c>
      <c r="Q194">
        <v>166.61000061035199</v>
      </c>
      <c r="R194">
        <v>169.669998168945</v>
      </c>
      <c r="S194">
        <v>166.36999511718801</v>
      </c>
      <c r="T194">
        <v>173.89999389648401</v>
      </c>
    </row>
    <row r="195" spans="1:20" x14ac:dyDescent="0.3">
      <c r="A195">
        <v>166.63000488281301</v>
      </c>
      <c r="B195">
        <v>169.03999328613301</v>
      </c>
      <c r="C195">
        <v>172.38999938964801</v>
      </c>
      <c r="D195">
        <v>166.52000427246099</v>
      </c>
      <c r="E195">
        <v>171.5</v>
      </c>
      <c r="F195">
        <v>173.67999267578099</v>
      </c>
      <c r="G195">
        <v>165.63999938964801</v>
      </c>
      <c r="H195">
        <v>174.22000122070301</v>
      </c>
      <c r="I195">
        <v>172.50999450683599</v>
      </c>
      <c r="J195">
        <v>163.830001831055</v>
      </c>
      <c r="K195">
        <v>173.77000427246099</v>
      </c>
      <c r="L195">
        <v>170.17999267578099</v>
      </c>
      <c r="M195">
        <v>163.13999938964801</v>
      </c>
      <c r="N195">
        <v>176.97999572753901</v>
      </c>
      <c r="O195">
        <v>162.27999877929699</v>
      </c>
      <c r="P195">
        <v>171.89999389648401</v>
      </c>
      <c r="Q195">
        <v>168.89999389648401</v>
      </c>
      <c r="R195">
        <v>170.63000488281301</v>
      </c>
      <c r="S195">
        <v>172.669998168945</v>
      </c>
      <c r="T195">
        <v>168.86000061035199</v>
      </c>
    </row>
    <row r="196" spans="1:20" x14ac:dyDescent="0.3">
      <c r="A196">
        <v>167.47999572753901</v>
      </c>
      <c r="B196">
        <v>171.83999633789099</v>
      </c>
      <c r="C196">
        <v>170.88999938964801</v>
      </c>
      <c r="D196">
        <v>173.08999633789099</v>
      </c>
      <c r="E196">
        <v>169.13999938964801</v>
      </c>
      <c r="F196">
        <v>176.00999450683599</v>
      </c>
      <c r="G196">
        <v>172.89999389648401</v>
      </c>
      <c r="H196">
        <v>169.28999328613301</v>
      </c>
      <c r="I196">
        <v>168.86999511718801</v>
      </c>
      <c r="J196">
        <v>173.61000061035199</v>
      </c>
      <c r="K196">
        <v>167.72999572753901</v>
      </c>
      <c r="L196">
        <v>169.669998168945</v>
      </c>
      <c r="M196">
        <v>168.16000366210901</v>
      </c>
      <c r="N196">
        <v>170.16000366210901</v>
      </c>
      <c r="O196">
        <v>168.86999511718801</v>
      </c>
      <c r="P196">
        <v>175.75</v>
      </c>
      <c r="Q196">
        <v>168.52999877929699</v>
      </c>
      <c r="R196">
        <v>179.14999389648401</v>
      </c>
      <c r="S196">
        <v>173.82000732421901</v>
      </c>
      <c r="T196">
        <v>161.02000427246099</v>
      </c>
    </row>
    <row r="197" spans="1:20" x14ac:dyDescent="0.3">
      <c r="A197">
        <v>175.36000061035199</v>
      </c>
      <c r="B197">
        <v>169.30999755859401</v>
      </c>
      <c r="C197">
        <v>163.75</v>
      </c>
      <c r="D197">
        <v>171.77000427246099</v>
      </c>
      <c r="E197">
        <v>172.71000671386699</v>
      </c>
      <c r="F197">
        <v>168.13999938964801</v>
      </c>
      <c r="G197">
        <v>173.919998168945</v>
      </c>
      <c r="H197">
        <v>176.11000061035199</v>
      </c>
      <c r="I197">
        <v>171.05999755859401</v>
      </c>
      <c r="J197">
        <v>173.36000061035199</v>
      </c>
      <c r="K197">
        <v>167.830001831055</v>
      </c>
      <c r="L197">
        <v>173.57000732421901</v>
      </c>
      <c r="M197">
        <v>171.919998168945</v>
      </c>
      <c r="N197">
        <v>166.44999694824199</v>
      </c>
      <c r="O197">
        <v>163</v>
      </c>
      <c r="P197">
        <v>173.669998168945</v>
      </c>
      <c r="Q197">
        <v>172.77999877929699</v>
      </c>
      <c r="R197">
        <v>164.919998168945</v>
      </c>
      <c r="S197">
        <v>168.92999267578099</v>
      </c>
      <c r="T197">
        <v>165.88999938964801</v>
      </c>
    </row>
    <row r="198" spans="1:20" x14ac:dyDescent="0.3">
      <c r="A198">
        <v>171.44999694824199</v>
      </c>
      <c r="B198">
        <v>166.52000427246099</v>
      </c>
      <c r="C198">
        <v>174.96000671386699</v>
      </c>
      <c r="D198">
        <v>168.47000122070301</v>
      </c>
      <c r="E198">
        <v>169.00999450683599</v>
      </c>
      <c r="F198">
        <v>160.80000305175801</v>
      </c>
      <c r="G198">
        <v>170.30000305175801</v>
      </c>
      <c r="H198">
        <v>178.22000122070301</v>
      </c>
      <c r="I198">
        <v>175.50999450683599</v>
      </c>
      <c r="J198">
        <v>159.39999389648401</v>
      </c>
      <c r="K198">
        <v>173.330001831055</v>
      </c>
      <c r="L198">
        <v>167.02999877929699</v>
      </c>
      <c r="M198">
        <v>168.44999694824199</v>
      </c>
      <c r="N198">
        <v>167.80999755859401</v>
      </c>
      <c r="O198">
        <v>165.55999755859401</v>
      </c>
      <c r="P198">
        <v>168.41000366210901</v>
      </c>
      <c r="Q198">
        <v>165.330001831055</v>
      </c>
      <c r="R198">
        <v>171.52999877929699</v>
      </c>
      <c r="S198">
        <v>168.47000122070301</v>
      </c>
      <c r="T198">
        <v>175.86000061035199</v>
      </c>
    </row>
    <row r="199" spans="1:20" x14ac:dyDescent="0.3">
      <c r="A199">
        <v>175.080001831055</v>
      </c>
      <c r="B199">
        <v>176.21000671386699</v>
      </c>
      <c r="C199">
        <v>169.63999938964801</v>
      </c>
      <c r="D199">
        <v>171.71000671386699</v>
      </c>
      <c r="E199">
        <v>172.99000549316401</v>
      </c>
      <c r="F199">
        <v>174.330001831055</v>
      </c>
      <c r="G199">
        <v>170.80999755859401</v>
      </c>
      <c r="H199">
        <v>167.77000427246099</v>
      </c>
      <c r="I199">
        <v>168.78999328613301</v>
      </c>
      <c r="J199">
        <v>167.69999694824199</v>
      </c>
      <c r="K199">
        <v>168.61000061035199</v>
      </c>
      <c r="L199">
        <v>161.830001831055</v>
      </c>
      <c r="M199">
        <v>167.96000671386699</v>
      </c>
      <c r="N199">
        <v>169.830001831055</v>
      </c>
      <c r="O199">
        <v>168.52999877929699</v>
      </c>
      <c r="P199">
        <v>167.39999389648401</v>
      </c>
      <c r="Q199">
        <v>172.00999450683599</v>
      </c>
      <c r="R199">
        <v>174.21000671386699</v>
      </c>
      <c r="S199">
        <v>172.08999633789099</v>
      </c>
      <c r="T199">
        <v>169.97000122070301</v>
      </c>
    </row>
    <row r="200" spans="1:20" x14ac:dyDescent="0.3">
      <c r="A200">
        <v>169.44000244140599</v>
      </c>
      <c r="B200">
        <v>176.49000549316401</v>
      </c>
      <c r="C200">
        <v>171.830001831055</v>
      </c>
      <c r="D200">
        <v>174.42999267578099</v>
      </c>
      <c r="E200">
        <v>169.49000549316401</v>
      </c>
      <c r="F200">
        <v>164.47000122070301</v>
      </c>
      <c r="G200">
        <v>161.10000610351599</v>
      </c>
      <c r="H200">
        <v>167.32000732421901</v>
      </c>
      <c r="I200">
        <v>169.35000610351599</v>
      </c>
      <c r="J200">
        <v>167.64999389648401</v>
      </c>
      <c r="K200">
        <v>172.92999267578099</v>
      </c>
      <c r="L200">
        <v>162.14999389648401</v>
      </c>
      <c r="M200">
        <v>162.52999877929699</v>
      </c>
      <c r="N200">
        <v>171.52000427246099</v>
      </c>
      <c r="O200">
        <v>168.830001831055</v>
      </c>
      <c r="P200">
        <v>164.42999267578099</v>
      </c>
      <c r="Q200">
        <v>166.52999877929699</v>
      </c>
      <c r="R200">
        <v>173.580001831055</v>
      </c>
      <c r="S200">
        <v>174.30000305175801</v>
      </c>
      <c r="T200">
        <v>171.64999389648401</v>
      </c>
    </row>
    <row r="201" spans="1:20" x14ac:dyDescent="0.3">
      <c r="A201">
        <v>171.38999938964801</v>
      </c>
      <c r="B201">
        <v>180.61000061035199</v>
      </c>
      <c r="C201">
        <v>174.17999267578099</v>
      </c>
      <c r="D201">
        <v>171.69000244140599</v>
      </c>
      <c r="E201">
        <v>170.97000122070301</v>
      </c>
      <c r="F201">
        <v>164.11000061035199</v>
      </c>
      <c r="G201">
        <v>165.44999694824199</v>
      </c>
      <c r="H201">
        <v>171.55999755859401</v>
      </c>
      <c r="I201">
        <v>165.30000305175801</v>
      </c>
      <c r="J201">
        <v>171.74000549316401</v>
      </c>
      <c r="K201">
        <v>170.22000122070301</v>
      </c>
      <c r="L201">
        <v>166.32000732421901</v>
      </c>
      <c r="M201">
        <v>167.88000488281301</v>
      </c>
      <c r="N201">
        <v>169</v>
      </c>
      <c r="O201">
        <v>161.99000549316401</v>
      </c>
      <c r="P201">
        <v>169.44999694824199</v>
      </c>
      <c r="Q201">
        <v>168.22000122070301</v>
      </c>
      <c r="R201">
        <v>169.38000488281301</v>
      </c>
      <c r="S201">
        <v>170.27000427246099</v>
      </c>
      <c r="T201">
        <v>174.47000122070301</v>
      </c>
    </row>
    <row r="202" spans="1:20" x14ac:dyDescent="0.3">
      <c r="A202">
        <v>173.17999267578099</v>
      </c>
      <c r="B202">
        <v>178.72999572753901</v>
      </c>
      <c r="C202">
        <v>171.75</v>
      </c>
      <c r="D202">
        <v>166.46000671386699</v>
      </c>
      <c r="E202">
        <v>171.30999755859401</v>
      </c>
      <c r="F202">
        <v>161.00999450683599</v>
      </c>
      <c r="G202">
        <v>164.53999328613301</v>
      </c>
      <c r="H202">
        <v>173.08999633789099</v>
      </c>
      <c r="I202">
        <v>168.13000488281301</v>
      </c>
      <c r="J202">
        <v>169.36999511718801</v>
      </c>
      <c r="K202">
        <v>170.77000427246099</v>
      </c>
      <c r="L202">
        <v>180.53999328613301</v>
      </c>
      <c r="M202">
        <v>169.13999938964801</v>
      </c>
      <c r="N202">
        <v>169.28999328613301</v>
      </c>
      <c r="O202">
        <v>167.94000244140599</v>
      </c>
      <c r="P202">
        <v>170.30000305175801</v>
      </c>
      <c r="Q202">
        <v>163.85000610351599</v>
      </c>
      <c r="R202">
        <v>166.27000427246099</v>
      </c>
      <c r="S202">
        <v>169.55000305175801</v>
      </c>
      <c r="T202">
        <v>167.88999938964801</v>
      </c>
    </row>
    <row r="203" spans="1:20" x14ac:dyDescent="0.3">
      <c r="A203">
        <v>172.17999267578099</v>
      </c>
      <c r="B203">
        <v>175.63000488281301</v>
      </c>
      <c r="C203">
        <v>159.72999572753901</v>
      </c>
      <c r="D203">
        <v>171.330001831055</v>
      </c>
      <c r="E203">
        <v>171.50999450683599</v>
      </c>
      <c r="F203">
        <v>171.60000610351599</v>
      </c>
      <c r="G203">
        <v>169.19000244140599</v>
      </c>
      <c r="H203">
        <v>172.11999511718801</v>
      </c>
      <c r="I203">
        <v>166.47000122070301</v>
      </c>
      <c r="J203">
        <v>160.580001831055</v>
      </c>
      <c r="K203">
        <v>169.02999877929699</v>
      </c>
      <c r="L203">
        <v>164.66000366210901</v>
      </c>
      <c r="M203">
        <v>166.55999755859401</v>
      </c>
      <c r="N203">
        <v>176.05999755859401</v>
      </c>
      <c r="O203">
        <v>168.74000549316401</v>
      </c>
      <c r="P203">
        <v>166.44999694824199</v>
      </c>
      <c r="Q203">
        <v>169.27999877929699</v>
      </c>
      <c r="R203">
        <v>163.53999328613301</v>
      </c>
      <c r="S203">
        <v>169.83999633789099</v>
      </c>
      <c r="T203">
        <v>179</v>
      </c>
    </row>
    <row r="204" spans="1:20" x14ac:dyDescent="0.3">
      <c r="A204">
        <v>164.66000366210901</v>
      </c>
      <c r="B204">
        <v>168.47999572753901</v>
      </c>
      <c r="C204">
        <v>167.21000671386699</v>
      </c>
      <c r="D204">
        <v>174.30000305175801</v>
      </c>
      <c r="E204">
        <v>161.47000122070301</v>
      </c>
      <c r="F204">
        <v>162.669998168945</v>
      </c>
      <c r="G204">
        <v>170.11000061035199</v>
      </c>
      <c r="H204">
        <v>170.27000427246099</v>
      </c>
      <c r="I204">
        <v>171.83999633789099</v>
      </c>
      <c r="J204">
        <v>165.78999328613301</v>
      </c>
      <c r="K204">
        <v>165.330001831055</v>
      </c>
      <c r="L204">
        <v>173.919998168945</v>
      </c>
      <c r="M204">
        <v>173.27999877929699</v>
      </c>
      <c r="N204">
        <v>171.36000061035199</v>
      </c>
      <c r="O204">
        <v>178.36999511718801</v>
      </c>
      <c r="P204">
        <v>166.77000427246099</v>
      </c>
      <c r="Q204">
        <v>179.27999877929699</v>
      </c>
      <c r="R204">
        <v>172.86000061035199</v>
      </c>
      <c r="S204">
        <v>178.72000122070301</v>
      </c>
      <c r="T204">
        <v>174.30999755859401</v>
      </c>
    </row>
    <row r="205" spans="1:20" x14ac:dyDescent="0.3">
      <c r="A205">
        <v>167.53999328613301</v>
      </c>
      <c r="B205">
        <v>168.61999511718801</v>
      </c>
      <c r="C205">
        <v>178.91000366210901</v>
      </c>
      <c r="D205">
        <v>168.5</v>
      </c>
      <c r="E205">
        <v>169.72000122070301</v>
      </c>
      <c r="F205">
        <v>169.16000366210901</v>
      </c>
      <c r="G205">
        <v>171.66000366210901</v>
      </c>
      <c r="H205">
        <v>164.28999328613301</v>
      </c>
      <c r="I205">
        <v>168.41000366210901</v>
      </c>
      <c r="J205">
        <v>163.580001831055</v>
      </c>
      <c r="K205">
        <v>171.66000366210901</v>
      </c>
      <c r="L205">
        <v>168.72000122070301</v>
      </c>
      <c r="M205">
        <v>169.10000610351599</v>
      </c>
      <c r="N205">
        <v>173.38000488281301</v>
      </c>
      <c r="O205">
        <v>164.41000366210901</v>
      </c>
      <c r="P205">
        <v>167.27000427246099</v>
      </c>
      <c r="Q205">
        <v>177.28999328613301</v>
      </c>
      <c r="R205">
        <v>172.05999755859401</v>
      </c>
      <c r="S205">
        <v>163.419998168945</v>
      </c>
      <c r="T205">
        <v>169.44999694824199</v>
      </c>
    </row>
    <row r="206" spans="1:20" x14ac:dyDescent="0.3">
      <c r="A206">
        <v>176.13000488281301</v>
      </c>
      <c r="B206">
        <v>167.25</v>
      </c>
      <c r="C206">
        <v>168.96000671386699</v>
      </c>
      <c r="D206">
        <v>173.94999694824199</v>
      </c>
      <c r="E206">
        <v>165.21000671386699</v>
      </c>
      <c r="F206">
        <v>171.919998168945</v>
      </c>
      <c r="G206">
        <v>173.57000732421901</v>
      </c>
      <c r="H206">
        <v>171.85000610351599</v>
      </c>
      <c r="I206">
        <v>158.72000122070301</v>
      </c>
      <c r="J206">
        <v>168.41000366210901</v>
      </c>
      <c r="K206">
        <v>165.36999511718801</v>
      </c>
      <c r="L206">
        <v>168.30999755859401</v>
      </c>
      <c r="M206">
        <v>170.17999267578099</v>
      </c>
      <c r="N206">
        <v>174.22000122070301</v>
      </c>
      <c r="O206">
        <v>165.86000061035199</v>
      </c>
      <c r="P206">
        <v>164.830001831055</v>
      </c>
      <c r="Q206">
        <v>165.08999633789099</v>
      </c>
      <c r="R206">
        <v>166.83999633789099</v>
      </c>
      <c r="S206">
        <v>172.55000305175801</v>
      </c>
      <c r="T206">
        <v>174.919998168945</v>
      </c>
    </row>
    <row r="207" spans="1:20" x14ac:dyDescent="0.3">
      <c r="A207">
        <v>173.86000061035199</v>
      </c>
      <c r="B207">
        <v>177.22000122070301</v>
      </c>
      <c r="C207">
        <v>170.58999633789099</v>
      </c>
      <c r="D207">
        <v>175.32000732421901</v>
      </c>
      <c r="E207">
        <v>170.97999572753901</v>
      </c>
      <c r="F207">
        <v>175.419998168945</v>
      </c>
      <c r="G207">
        <v>164.72000122070301</v>
      </c>
      <c r="H207">
        <v>177.21000671386699</v>
      </c>
      <c r="I207">
        <v>177.49000549316401</v>
      </c>
      <c r="J207">
        <v>172.38000488281301</v>
      </c>
      <c r="K207">
        <v>170.97000122070301</v>
      </c>
      <c r="L207">
        <v>160.61000061035199</v>
      </c>
      <c r="M207">
        <v>166.86999511718801</v>
      </c>
      <c r="N207">
        <v>173.58999633789099</v>
      </c>
      <c r="O207">
        <v>166.85000610351599</v>
      </c>
      <c r="P207">
        <v>163.00999450683599</v>
      </c>
      <c r="Q207">
        <v>172.63000488281301</v>
      </c>
      <c r="R207">
        <v>176.55000305175801</v>
      </c>
      <c r="S207">
        <v>165.86999511718801</v>
      </c>
      <c r="T207">
        <v>169.91000366210901</v>
      </c>
    </row>
    <row r="208" spans="1:20" x14ac:dyDescent="0.3">
      <c r="A208">
        <v>170.080001831055</v>
      </c>
      <c r="B208">
        <v>166.77000427246099</v>
      </c>
      <c r="C208">
        <v>177.97999572753901</v>
      </c>
      <c r="D208">
        <v>167.64999389648401</v>
      </c>
      <c r="E208">
        <v>178.02000427246099</v>
      </c>
      <c r="F208">
        <v>169.52999877929699</v>
      </c>
      <c r="G208">
        <v>164.88999938964801</v>
      </c>
      <c r="H208">
        <v>173.07000732421901</v>
      </c>
      <c r="I208">
        <v>173.27999877929699</v>
      </c>
      <c r="J208">
        <v>166.97000122070301</v>
      </c>
      <c r="K208">
        <v>173.86999511718801</v>
      </c>
      <c r="L208">
        <v>167.919998168945</v>
      </c>
      <c r="M208">
        <v>173.35000610351599</v>
      </c>
      <c r="N208">
        <v>172.61000061035199</v>
      </c>
      <c r="O208">
        <v>174.41000366210901</v>
      </c>
      <c r="P208">
        <v>165.72000122070301</v>
      </c>
      <c r="Q208">
        <v>167.74000549316401</v>
      </c>
      <c r="R208">
        <v>175.94000244140599</v>
      </c>
      <c r="S208">
        <v>176.02000427246099</v>
      </c>
      <c r="T208">
        <v>171.96000671386699</v>
      </c>
    </row>
    <row r="209" spans="1:20" x14ac:dyDescent="0.3">
      <c r="A209">
        <v>173.75</v>
      </c>
      <c r="B209">
        <v>169.27999877929699</v>
      </c>
      <c r="C209">
        <v>175.88999938964801</v>
      </c>
      <c r="D209">
        <v>166.14999389648401</v>
      </c>
      <c r="E209">
        <v>170.91000366210901</v>
      </c>
      <c r="F209">
        <v>167.24000549316401</v>
      </c>
      <c r="G209">
        <v>170.49000549316401</v>
      </c>
      <c r="H209">
        <v>178.24000549316401</v>
      </c>
      <c r="I209">
        <v>170.32000732421901</v>
      </c>
      <c r="J209">
        <v>172.830001831055</v>
      </c>
      <c r="K209">
        <v>174.08999633789099</v>
      </c>
      <c r="L209">
        <v>168.69999694824199</v>
      </c>
      <c r="M209">
        <v>169.49000549316401</v>
      </c>
      <c r="N209">
        <v>171.53999328613301</v>
      </c>
      <c r="O209">
        <v>168.19999694824199</v>
      </c>
      <c r="P209">
        <v>167.03999328613301</v>
      </c>
      <c r="Q209">
        <v>169.91000366210901</v>
      </c>
      <c r="R209">
        <v>172.88000488281301</v>
      </c>
      <c r="S209">
        <v>170.30999755859401</v>
      </c>
      <c r="T209">
        <v>174.75999450683599</v>
      </c>
    </row>
    <row r="210" spans="1:20" x14ac:dyDescent="0.3">
      <c r="A210">
        <v>171.24000549316401</v>
      </c>
      <c r="B210">
        <v>169.02999877929699</v>
      </c>
      <c r="C210">
        <v>169.50999450683599</v>
      </c>
      <c r="D210">
        <v>167.89999389648401</v>
      </c>
      <c r="E210">
        <v>169.63999938964801</v>
      </c>
      <c r="F210">
        <v>162.47000122070301</v>
      </c>
      <c r="G210">
        <v>172.32000732421901</v>
      </c>
      <c r="H210">
        <v>175.419998168945</v>
      </c>
      <c r="I210">
        <v>170.24000549316401</v>
      </c>
      <c r="J210">
        <v>165.46000671386699</v>
      </c>
      <c r="K210">
        <v>172.07000732421901</v>
      </c>
      <c r="L210">
        <v>175.27000427246099</v>
      </c>
      <c r="M210">
        <v>166.52000427246099</v>
      </c>
      <c r="N210">
        <v>171.52999877929699</v>
      </c>
      <c r="O210">
        <v>174.25999450683599</v>
      </c>
      <c r="P210">
        <v>164.92999267578099</v>
      </c>
      <c r="Q210">
        <v>167.99000549316401</v>
      </c>
      <c r="R210">
        <v>166.16000366210901</v>
      </c>
      <c r="S210">
        <v>172.38999938964801</v>
      </c>
      <c r="T210">
        <v>165.91000366210901</v>
      </c>
    </row>
    <row r="211" spans="1:20" x14ac:dyDescent="0.3">
      <c r="A211">
        <v>168.07000732421901</v>
      </c>
      <c r="B211">
        <v>170.92999267578099</v>
      </c>
      <c r="C211">
        <v>174.169998168945</v>
      </c>
      <c r="D211">
        <v>165.61999511718801</v>
      </c>
      <c r="E211">
        <v>171.36000061035199</v>
      </c>
      <c r="F211">
        <v>171.74000549316401</v>
      </c>
      <c r="G211">
        <v>177.330001831055</v>
      </c>
      <c r="H211">
        <v>168.99000549316401</v>
      </c>
      <c r="I211">
        <v>173.77999877929699</v>
      </c>
      <c r="J211">
        <v>169.05000305175801</v>
      </c>
      <c r="K211">
        <v>166.38000488281301</v>
      </c>
      <c r="L211">
        <v>167.61000061035199</v>
      </c>
      <c r="M211">
        <v>176.82000732421901</v>
      </c>
      <c r="N211">
        <v>172.36000061035199</v>
      </c>
      <c r="O211">
        <v>166.80000305175801</v>
      </c>
      <c r="P211">
        <v>170.99000549316401</v>
      </c>
      <c r="Q211">
        <v>174</v>
      </c>
      <c r="R211">
        <v>163.17999267578099</v>
      </c>
      <c r="S211">
        <v>168.10000610351599</v>
      </c>
      <c r="T211">
        <v>168.61999511718801</v>
      </c>
    </row>
    <row r="212" spans="1:20" x14ac:dyDescent="0.3">
      <c r="A212">
        <v>170.63000488281301</v>
      </c>
      <c r="B212">
        <v>154.27999877929699</v>
      </c>
      <c r="C212">
        <v>173.05999755859401</v>
      </c>
      <c r="D212">
        <v>169.419998168945</v>
      </c>
      <c r="E212">
        <v>160.080001831055</v>
      </c>
      <c r="F212">
        <v>167.99000549316401</v>
      </c>
      <c r="G212">
        <v>178.36000061035199</v>
      </c>
      <c r="H212">
        <v>162.66000366210901</v>
      </c>
      <c r="I212">
        <v>174.60000610351599</v>
      </c>
      <c r="J212">
        <v>170.13000488281199</v>
      </c>
      <c r="K212">
        <v>167.47000122070301</v>
      </c>
      <c r="L212">
        <v>163.08999633789099</v>
      </c>
      <c r="M212">
        <v>171.67999267578099</v>
      </c>
      <c r="N212">
        <v>170.21000671386699</v>
      </c>
      <c r="O212">
        <v>161.89999389648401</v>
      </c>
      <c r="P212">
        <v>176.19999694824199</v>
      </c>
      <c r="Q212">
        <v>160.830001831055</v>
      </c>
      <c r="R212">
        <v>173.74000549316401</v>
      </c>
      <c r="S212">
        <v>175.14999389648401</v>
      </c>
      <c r="T212">
        <v>175.50999450683599</v>
      </c>
    </row>
    <row r="213" spans="1:20" x14ac:dyDescent="0.3">
      <c r="A213">
        <v>167.94999694824199</v>
      </c>
      <c r="B213">
        <v>174.52999877929699</v>
      </c>
      <c r="C213">
        <v>171.05000305175801</v>
      </c>
      <c r="D213">
        <v>168.580001831055</v>
      </c>
      <c r="E213">
        <v>160.46000671386699</v>
      </c>
      <c r="F213">
        <v>174.27999877929699</v>
      </c>
      <c r="G213">
        <v>175.86999511718801</v>
      </c>
      <c r="H213">
        <v>173.330001831055</v>
      </c>
      <c r="I213">
        <v>168.97999572753901</v>
      </c>
      <c r="J213">
        <v>163.41000366210901</v>
      </c>
      <c r="K213">
        <v>171.44999694824199</v>
      </c>
      <c r="L213">
        <v>170.21000671386699</v>
      </c>
      <c r="M213">
        <v>175</v>
      </c>
      <c r="N213">
        <v>167.41000366210901</v>
      </c>
      <c r="O213">
        <v>175.28999328613301</v>
      </c>
      <c r="P213">
        <v>176.71000671386699</v>
      </c>
      <c r="Q213">
        <v>160.02000427246099</v>
      </c>
      <c r="R213">
        <v>171.80000305175801</v>
      </c>
      <c r="S213">
        <v>168.88000488281301</v>
      </c>
      <c r="T213">
        <v>178.35000610351599</v>
      </c>
    </row>
    <row r="214" spans="1:20" x14ac:dyDescent="0.3">
      <c r="A214">
        <v>173.46000671386699</v>
      </c>
      <c r="B214">
        <v>173.00999450683599</v>
      </c>
      <c r="C214">
        <v>164.36000061035199</v>
      </c>
      <c r="D214">
        <v>165.22999572753901</v>
      </c>
      <c r="E214">
        <v>171.55999755859401</v>
      </c>
      <c r="F214">
        <v>169.580001831055</v>
      </c>
      <c r="G214">
        <v>163.74000549316401</v>
      </c>
      <c r="H214">
        <v>168.75999450683599</v>
      </c>
      <c r="I214">
        <v>169.60000610351599</v>
      </c>
      <c r="J214">
        <v>169.46000671386699</v>
      </c>
      <c r="K214">
        <v>169.80999755859401</v>
      </c>
      <c r="L214">
        <v>166.36999511718801</v>
      </c>
      <c r="M214">
        <v>169.080001831055</v>
      </c>
      <c r="N214">
        <v>166.16000366210901</v>
      </c>
      <c r="O214">
        <v>164.080001831055</v>
      </c>
      <c r="P214">
        <v>167.53999328613301</v>
      </c>
      <c r="Q214">
        <v>167.5</v>
      </c>
      <c r="R214">
        <v>169.17999267578099</v>
      </c>
      <c r="S214">
        <v>168.02999877929699</v>
      </c>
      <c r="T214">
        <v>165.77000427246099</v>
      </c>
    </row>
    <row r="215" spans="1:20" x14ac:dyDescent="0.3">
      <c r="A215">
        <v>174.74000549316401</v>
      </c>
      <c r="B215">
        <v>166.69999694824199</v>
      </c>
      <c r="C215">
        <v>166.38999938964801</v>
      </c>
      <c r="D215">
        <v>164.14999389648401</v>
      </c>
      <c r="E215">
        <v>164.57000732421901</v>
      </c>
      <c r="F215">
        <v>166.47999572753901</v>
      </c>
      <c r="G215">
        <v>170.97000122070301</v>
      </c>
      <c r="H215">
        <v>169.38000488281301</v>
      </c>
      <c r="I215">
        <v>171.27999877929699</v>
      </c>
      <c r="J215">
        <v>160.52000427246099</v>
      </c>
      <c r="K215">
        <v>171.17999267578099</v>
      </c>
      <c r="L215">
        <v>171.60000610351599</v>
      </c>
      <c r="M215">
        <v>172.36999511718699</v>
      </c>
      <c r="N215">
        <v>170.30999755859401</v>
      </c>
      <c r="O215">
        <v>180.52000427246099</v>
      </c>
      <c r="P215">
        <v>164.33999633789099</v>
      </c>
      <c r="Q215">
        <v>169.33999633789099</v>
      </c>
      <c r="R215">
        <v>173.36000061035199</v>
      </c>
      <c r="S215">
        <v>164.49000549316401</v>
      </c>
      <c r="T215">
        <v>169.07000732421901</v>
      </c>
    </row>
    <row r="216" spans="1:20" x14ac:dyDescent="0.3">
      <c r="A216">
        <v>171.25</v>
      </c>
      <c r="B216">
        <v>173.96000671386699</v>
      </c>
      <c r="C216">
        <v>173.41000366210901</v>
      </c>
      <c r="D216">
        <v>166.53999328613301</v>
      </c>
      <c r="E216">
        <v>168.580001831055</v>
      </c>
      <c r="F216">
        <v>176.99000549316401</v>
      </c>
      <c r="G216">
        <v>171.46000671386699</v>
      </c>
      <c r="H216">
        <v>165.97999572753901</v>
      </c>
      <c r="I216">
        <v>176.74000549316401</v>
      </c>
      <c r="J216">
        <v>166.19999694824199</v>
      </c>
      <c r="K216">
        <v>171.08999633789099</v>
      </c>
      <c r="L216">
        <v>174.35000610351599</v>
      </c>
      <c r="M216">
        <v>173.21000671386699</v>
      </c>
      <c r="N216">
        <v>171.11000061035199</v>
      </c>
      <c r="O216">
        <v>173.77999877929699</v>
      </c>
      <c r="P216">
        <v>173.169998168945</v>
      </c>
      <c r="Q216">
        <v>159.49000549316401</v>
      </c>
      <c r="R216">
        <v>169.21000671386699</v>
      </c>
      <c r="S216">
        <v>173.02999877929699</v>
      </c>
      <c r="T216">
        <v>167.919998168945</v>
      </c>
    </row>
    <row r="217" spans="1:20" x14ac:dyDescent="0.3">
      <c r="A217">
        <v>168.080001831055</v>
      </c>
      <c r="B217">
        <v>176.30000305175801</v>
      </c>
      <c r="C217">
        <v>162.32000732421901</v>
      </c>
      <c r="D217">
        <v>171.71000671386699</v>
      </c>
      <c r="E217">
        <v>164.32000732421901</v>
      </c>
      <c r="F217">
        <v>174.22000122070301</v>
      </c>
      <c r="G217">
        <v>173.75</v>
      </c>
      <c r="H217">
        <v>169.5</v>
      </c>
      <c r="I217">
        <v>166.30999755859401</v>
      </c>
      <c r="J217">
        <v>167.25999450683599</v>
      </c>
      <c r="K217">
        <v>165.69000244140599</v>
      </c>
      <c r="L217">
        <v>177.169998168945</v>
      </c>
      <c r="M217">
        <v>167.55999755859401</v>
      </c>
      <c r="N217">
        <v>172.92999267578099</v>
      </c>
      <c r="O217">
        <v>167.61999511718801</v>
      </c>
      <c r="P217">
        <v>172.22000122070301</v>
      </c>
      <c r="Q217">
        <v>169.55999755859401</v>
      </c>
      <c r="R217">
        <v>168.72999572753901</v>
      </c>
      <c r="S217">
        <v>177.07000732421901</v>
      </c>
      <c r="T217">
        <v>172.14999389648401</v>
      </c>
    </row>
    <row r="218" spans="1:20" x14ac:dyDescent="0.3">
      <c r="A218">
        <v>169.72000122070301</v>
      </c>
      <c r="B218">
        <v>172.13000488281301</v>
      </c>
      <c r="C218">
        <v>168.44000244140599</v>
      </c>
      <c r="D218">
        <v>166.86999511718801</v>
      </c>
      <c r="E218">
        <v>177.88999938964801</v>
      </c>
      <c r="F218">
        <v>170.19999694824199</v>
      </c>
      <c r="G218">
        <v>166.77000427246099</v>
      </c>
      <c r="H218">
        <v>172.80000305175801</v>
      </c>
      <c r="I218">
        <v>179.75</v>
      </c>
      <c r="J218">
        <v>169.33999633789099</v>
      </c>
      <c r="K218">
        <v>169.52999877929699</v>
      </c>
      <c r="L218">
        <v>170.52999877929699</v>
      </c>
      <c r="M218">
        <v>176.80000305175801</v>
      </c>
      <c r="N218">
        <v>167.05000305175801</v>
      </c>
      <c r="O218">
        <v>178.24000549316401</v>
      </c>
      <c r="P218">
        <v>177.58999633789099</v>
      </c>
      <c r="Q218">
        <v>166.55000305175801</v>
      </c>
      <c r="R218">
        <v>176.830001831055</v>
      </c>
      <c r="S218">
        <v>166.39999389648401</v>
      </c>
      <c r="T218">
        <v>179.46000671386699</v>
      </c>
    </row>
    <row r="219" spans="1:20" x14ac:dyDescent="0.3">
      <c r="A219">
        <v>169.82000732421901</v>
      </c>
      <c r="B219">
        <v>170.46000671386699</v>
      </c>
      <c r="C219">
        <v>167.19999694824199</v>
      </c>
      <c r="D219">
        <v>168.86999511718801</v>
      </c>
      <c r="E219">
        <v>166.55999755859401</v>
      </c>
      <c r="F219">
        <v>165.60000610351599</v>
      </c>
      <c r="G219">
        <v>169.580001831055</v>
      </c>
      <c r="H219">
        <v>172.330001831055</v>
      </c>
      <c r="I219">
        <v>169.94000244140599</v>
      </c>
      <c r="J219">
        <v>164.74000549316401</v>
      </c>
      <c r="K219">
        <v>169.330001831055</v>
      </c>
      <c r="L219">
        <v>166.52999877929699</v>
      </c>
      <c r="M219">
        <v>165.44000244140599</v>
      </c>
      <c r="N219">
        <v>169.38999938964801</v>
      </c>
      <c r="O219">
        <v>171.96000671386699</v>
      </c>
      <c r="P219">
        <v>164.99000549316401</v>
      </c>
      <c r="Q219">
        <v>170.57000732421901</v>
      </c>
      <c r="R219">
        <v>165.02999877929699</v>
      </c>
      <c r="S219">
        <v>166.97000122070301</v>
      </c>
      <c r="T219">
        <v>165.19999694824199</v>
      </c>
    </row>
    <row r="220" spans="1:20" x14ac:dyDescent="0.3">
      <c r="A220">
        <v>172.88000488281301</v>
      </c>
      <c r="B220">
        <v>168.74000549316401</v>
      </c>
      <c r="C220">
        <v>167.94999694824199</v>
      </c>
      <c r="D220">
        <v>173.96000671386699</v>
      </c>
      <c r="E220">
        <v>172.47000122070301</v>
      </c>
      <c r="F220">
        <v>171.47000122070301</v>
      </c>
      <c r="G220">
        <v>169.13999938964801</v>
      </c>
      <c r="H220">
        <v>169.96000671386699</v>
      </c>
      <c r="I220">
        <v>172.63999938964801</v>
      </c>
      <c r="J220">
        <v>174.13000488281301</v>
      </c>
      <c r="K220">
        <v>169.64999389648401</v>
      </c>
      <c r="L220">
        <v>164.66000366210901</v>
      </c>
      <c r="M220">
        <v>166.86000061035199</v>
      </c>
      <c r="N220">
        <v>174.22999572753901</v>
      </c>
      <c r="O220">
        <v>166.97000122070301</v>
      </c>
      <c r="P220">
        <v>171.53999328613301</v>
      </c>
      <c r="Q220">
        <v>164.66000366210901</v>
      </c>
      <c r="R220">
        <v>169.27999877929699</v>
      </c>
      <c r="S220">
        <v>166.61000061035199</v>
      </c>
      <c r="T220">
        <v>172.11999511718801</v>
      </c>
    </row>
    <row r="221" spans="1:20" x14ac:dyDescent="0.3">
      <c r="A221">
        <v>172.07000732421901</v>
      </c>
      <c r="B221">
        <v>170.53999328613301</v>
      </c>
      <c r="C221">
        <v>171.64999389648401</v>
      </c>
      <c r="D221">
        <v>179.5</v>
      </c>
      <c r="E221">
        <v>168.419998168945</v>
      </c>
      <c r="F221">
        <v>178.99000549316401</v>
      </c>
      <c r="G221">
        <v>178.05999755859401</v>
      </c>
      <c r="H221">
        <v>170.71000671386699</v>
      </c>
      <c r="I221">
        <v>168.27000427246099</v>
      </c>
      <c r="J221">
        <v>176.330001831055</v>
      </c>
      <c r="K221">
        <v>166.72000122070301</v>
      </c>
      <c r="L221">
        <v>173.53999328613301</v>
      </c>
      <c r="M221">
        <v>173.11999511718801</v>
      </c>
      <c r="N221">
        <v>168.03999328613301</v>
      </c>
      <c r="O221">
        <v>171.13999938964801</v>
      </c>
      <c r="P221">
        <v>169.50999450683599</v>
      </c>
      <c r="Q221">
        <v>168.47999572753901</v>
      </c>
      <c r="R221">
        <v>175.63000488281301</v>
      </c>
      <c r="S221">
        <v>176.80999755859401</v>
      </c>
      <c r="T221">
        <v>172.10000610351599</v>
      </c>
    </row>
    <row r="222" spans="1:20" x14ac:dyDescent="0.3">
      <c r="A222">
        <v>174.96000671386699</v>
      </c>
      <c r="B222">
        <v>171.30999755859401</v>
      </c>
      <c r="C222">
        <v>168.67999267578099</v>
      </c>
      <c r="D222">
        <v>165.77999877929699</v>
      </c>
      <c r="E222">
        <v>167.57000732421901</v>
      </c>
      <c r="F222">
        <v>169.27000427246099</v>
      </c>
      <c r="G222">
        <v>168.330001831055</v>
      </c>
      <c r="H222">
        <v>172.46000671386699</v>
      </c>
      <c r="I222">
        <v>167.63000488281301</v>
      </c>
      <c r="J222">
        <v>174.05000305175801</v>
      </c>
      <c r="K222">
        <v>174.169998168945</v>
      </c>
      <c r="L222">
        <v>176.71000671386699</v>
      </c>
      <c r="M222">
        <v>172.63000488281301</v>
      </c>
      <c r="N222">
        <v>171.13999938964801</v>
      </c>
      <c r="O222">
        <v>167.69999694824199</v>
      </c>
      <c r="P222">
        <v>168.02999877929699</v>
      </c>
      <c r="Q222">
        <v>164.07000732421901</v>
      </c>
      <c r="R222">
        <v>170.05000305175801</v>
      </c>
      <c r="S222">
        <v>174.42999267578099</v>
      </c>
      <c r="T222">
        <v>167.91000366210901</v>
      </c>
    </row>
    <row r="223" spans="1:20" x14ac:dyDescent="0.3">
      <c r="A223">
        <v>169.22000122070301</v>
      </c>
      <c r="B223">
        <v>172.14999389648401</v>
      </c>
      <c r="C223">
        <v>172.53999328613301</v>
      </c>
      <c r="D223">
        <v>169.71000671386699</v>
      </c>
      <c r="E223">
        <v>169.25999450683599</v>
      </c>
      <c r="F223">
        <v>171.02000427246099</v>
      </c>
      <c r="G223">
        <v>165.080001831055</v>
      </c>
      <c r="H223">
        <v>167.77000427246099</v>
      </c>
      <c r="I223">
        <v>169.67999267578099</v>
      </c>
      <c r="J223">
        <v>167.63999938964801</v>
      </c>
      <c r="K223">
        <v>168.74000549316401</v>
      </c>
      <c r="L223">
        <v>170.330001831055</v>
      </c>
      <c r="M223">
        <v>171.97000122070301</v>
      </c>
      <c r="N223">
        <v>163.50999450683599</v>
      </c>
      <c r="O223">
        <v>169.03999328613301</v>
      </c>
      <c r="P223">
        <v>174.88999938964801</v>
      </c>
      <c r="Q223">
        <v>177.63999938964801</v>
      </c>
      <c r="R223">
        <v>180.13999938964801</v>
      </c>
      <c r="S223">
        <v>167.47000122070301</v>
      </c>
      <c r="T223">
        <v>170.96000671386699</v>
      </c>
    </row>
    <row r="224" spans="1:20" x14ac:dyDescent="0.3">
      <c r="A224">
        <v>168.44999694824199</v>
      </c>
      <c r="B224">
        <v>165.55999755859401</v>
      </c>
      <c r="C224">
        <v>165.61999511718801</v>
      </c>
      <c r="D224">
        <v>178.58999633789099</v>
      </c>
      <c r="E224">
        <v>168.69000244140599</v>
      </c>
      <c r="F224">
        <v>170.36000061035199</v>
      </c>
      <c r="G224">
        <v>172.330001831055</v>
      </c>
      <c r="H224">
        <v>177.55000305175801</v>
      </c>
      <c r="I224">
        <v>179.22999572753901</v>
      </c>
      <c r="J224">
        <v>168.83999633789099</v>
      </c>
      <c r="K224">
        <v>172.08999633789099</v>
      </c>
      <c r="L224">
        <v>172.94000244140599</v>
      </c>
      <c r="M224">
        <v>169.60000610351599</v>
      </c>
      <c r="N224">
        <v>174.52000427246099</v>
      </c>
      <c r="O224">
        <v>170.42999267578099</v>
      </c>
      <c r="P224">
        <v>170.27999877929699</v>
      </c>
      <c r="Q224">
        <v>173.27999877929699</v>
      </c>
      <c r="R224">
        <v>160.88999938964801</v>
      </c>
      <c r="S224">
        <v>168.830001831055</v>
      </c>
      <c r="T224">
        <v>171.05000305175801</v>
      </c>
    </row>
    <row r="225" spans="1:20" x14ac:dyDescent="0.3">
      <c r="A225">
        <v>169.88000488281301</v>
      </c>
      <c r="B225">
        <v>169.169998168945</v>
      </c>
      <c r="C225">
        <v>164.97999572753901</v>
      </c>
      <c r="D225">
        <v>167.86999511718801</v>
      </c>
      <c r="E225">
        <v>170.69999694824199</v>
      </c>
      <c r="F225">
        <v>168.53999328613301</v>
      </c>
      <c r="G225">
        <v>170.74000549316401</v>
      </c>
      <c r="H225">
        <v>168.86999511718801</v>
      </c>
      <c r="I225">
        <v>172.77999877929699</v>
      </c>
      <c r="J225">
        <v>166.53999328613301</v>
      </c>
      <c r="K225">
        <v>168.50999450683599</v>
      </c>
      <c r="L225">
        <v>171.25</v>
      </c>
      <c r="M225">
        <v>165.61000061035199</v>
      </c>
      <c r="N225">
        <v>176.669998168945</v>
      </c>
      <c r="O225">
        <v>175.77999877929699</v>
      </c>
      <c r="P225">
        <v>172.5</v>
      </c>
      <c r="Q225">
        <v>182.69000244140599</v>
      </c>
      <c r="R225">
        <v>172.42999267578099</v>
      </c>
      <c r="S225">
        <v>170.05000305175801</v>
      </c>
      <c r="T225">
        <v>170.13999938964801</v>
      </c>
    </row>
    <row r="226" spans="1:20" x14ac:dyDescent="0.3">
      <c r="A226">
        <v>168.11000061035199</v>
      </c>
      <c r="B226">
        <v>171.5</v>
      </c>
      <c r="C226">
        <v>172.02000427246099</v>
      </c>
      <c r="D226">
        <v>166.88999938964801</v>
      </c>
      <c r="E226">
        <v>175.55000305175801</v>
      </c>
      <c r="F226">
        <v>163.72000122070301</v>
      </c>
      <c r="G226">
        <v>167.36999511718801</v>
      </c>
      <c r="H226">
        <v>176.69999694824199</v>
      </c>
      <c r="I226">
        <v>168.17999267578099</v>
      </c>
      <c r="J226">
        <v>168.50999450683599</v>
      </c>
      <c r="K226">
        <v>174.66000366210901</v>
      </c>
      <c r="L226">
        <v>169.83999633789099</v>
      </c>
      <c r="M226">
        <v>167.5</v>
      </c>
      <c r="N226">
        <v>167.36000061035199</v>
      </c>
      <c r="O226">
        <v>167.38999938964801</v>
      </c>
      <c r="P226">
        <v>167.77999877929699</v>
      </c>
      <c r="Q226">
        <v>175.00999450683599</v>
      </c>
      <c r="R226">
        <v>165.77999877929699</v>
      </c>
      <c r="S226">
        <v>175.05999755859401</v>
      </c>
      <c r="T226">
        <v>172.05000305175801</v>
      </c>
    </row>
    <row r="227" spans="1:20" x14ac:dyDescent="0.3">
      <c r="A227">
        <v>164.91000366210901</v>
      </c>
      <c r="B227">
        <v>169.71000671386699</v>
      </c>
      <c r="C227">
        <v>166.33999633789099</v>
      </c>
      <c r="D227">
        <v>168.60000610351599</v>
      </c>
      <c r="E227">
        <v>168.61000061035199</v>
      </c>
      <c r="F227">
        <v>168.67999267578099</v>
      </c>
      <c r="G227">
        <v>177.41000366210901</v>
      </c>
      <c r="H227">
        <v>169.63999938964801</v>
      </c>
      <c r="I227">
        <v>162.44000244140599</v>
      </c>
      <c r="J227">
        <v>167.16000366210901</v>
      </c>
      <c r="K227">
        <v>169.36999511718801</v>
      </c>
      <c r="L227">
        <v>176.92999267578099</v>
      </c>
      <c r="M227">
        <v>171.89999389648401</v>
      </c>
      <c r="N227">
        <v>166.63000488281301</v>
      </c>
      <c r="O227">
        <v>163.71000671386699</v>
      </c>
      <c r="P227">
        <v>171.97000122070301</v>
      </c>
      <c r="Q227">
        <v>174.49000549316401</v>
      </c>
      <c r="R227">
        <v>168.61999511718801</v>
      </c>
      <c r="S227">
        <v>165.92999267578099</v>
      </c>
      <c r="T227">
        <v>172.25999450683599</v>
      </c>
    </row>
    <row r="228" spans="1:20" x14ac:dyDescent="0.3">
      <c r="A228">
        <v>170.919998168945</v>
      </c>
      <c r="B228">
        <v>175.36000061035199</v>
      </c>
      <c r="C228">
        <v>175.36999511718801</v>
      </c>
      <c r="D228">
        <v>179.39999389648401</v>
      </c>
      <c r="E228">
        <v>170.16000366210901</v>
      </c>
      <c r="F228">
        <v>168.60000610351599</v>
      </c>
      <c r="G228">
        <v>169.96000671386699</v>
      </c>
      <c r="H228">
        <v>171.669998168945</v>
      </c>
      <c r="I228">
        <v>173.46000671386699</v>
      </c>
      <c r="J228">
        <v>169.28999328613301</v>
      </c>
      <c r="K228">
        <v>171.36000061035199</v>
      </c>
      <c r="L228">
        <v>174.13999938964801</v>
      </c>
      <c r="M228">
        <v>166.33999633789099</v>
      </c>
      <c r="N228">
        <v>170.91000366210901</v>
      </c>
      <c r="O228">
        <v>169.080001831055</v>
      </c>
      <c r="P228">
        <v>176.30000305175801</v>
      </c>
      <c r="Q228">
        <v>174.27999877929699</v>
      </c>
      <c r="R228">
        <v>166.97999572753901</v>
      </c>
      <c r="S228">
        <v>168.61000061035199</v>
      </c>
      <c r="T228">
        <v>171.63999938964801</v>
      </c>
    </row>
    <row r="229" spans="1:20" x14ac:dyDescent="0.3">
      <c r="A229">
        <v>171.419998168945</v>
      </c>
      <c r="B229">
        <v>168.13999938964801</v>
      </c>
      <c r="C229">
        <v>168.22999572753901</v>
      </c>
      <c r="D229">
        <v>176.77000427246099</v>
      </c>
      <c r="E229">
        <v>173.10000610351599</v>
      </c>
      <c r="F229">
        <v>174.80999755859401</v>
      </c>
      <c r="G229">
        <v>169.72000122070301</v>
      </c>
      <c r="H229">
        <v>167.94000244140599</v>
      </c>
      <c r="I229">
        <v>161.77999877929699</v>
      </c>
      <c r="J229">
        <v>169.85000610351599</v>
      </c>
      <c r="K229">
        <v>172.97000122070301</v>
      </c>
      <c r="L229">
        <v>162.22999572753901</v>
      </c>
      <c r="M229">
        <v>166.97000122070301</v>
      </c>
      <c r="N229">
        <v>170.77000427246099</v>
      </c>
      <c r="O229">
        <v>171.47000122070301</v>
      </c>
      <c r="P229">
        <v>169.14999389648401</v>
      </c>
      <c r="Q229">
        <v>170.14999389648401</v>
      </c>
      <c r="R229">
        <v>167.05999755859401</v>
      </c>
      <c r="S229">
        <v>162.72000122070301</v>
      </c>
      <c r="T229">
        <v>170.19999694824199</v>
      </c>
    </row>
    <row r="230" spans="1:20" x14ac:dyDescent="0.3">
      <c r="A230">
        <v>168.11000061035199</v>
      </c>
      <c r="B230">
        <v>173.63999938964801</v>
      </c>
      <c r="C230">
        <v>165.41000366210901</v>
      </c>
      <c r="D230">
        <v>179.11999511718801</v>
      </c>
      <c r="E230">
        <v>168.75</v>
      </c>
      <c r="F230">
        <v>162.5</v>
      </c>
      <c r="G230">
        <v>170.830001831055</v>
      </c>
      <c r="H230">
        <v>170.44999694824199</v>
      </c>
      <c r="I230">
        <v>168.330001831055</v>
      </c>
      <c r="J230">
        <v>173.669998168945</v>
      </c>
      <c r="K230">
        <v>177.94000244140599</v>
      </c>
      <c r="L230">
        <v>170.83999633789099</v>
      </c>
      <c r="M230">
        <v>168.35000610351599</v>
      </c>
      <c r="N230">
        <v>168.66000366210901</v>
      </c>
      <c r="O230">
        <v>168.24000549316401</v>
      </c>
      <c r="P230">
        <v>173.80000305175801</v>
      </c>
      <c r="Q230">
        <v>174.30999755859401</v>
      </c>
      <c r="R230">
        <v>168.96000671386699</v>
      </c>
      <c r="S230">
        <v>171.22999572753901</v>
      </c>
      <c r="T230">
        <v>168.830001831055</v>
      </c>
    </row>
    <row r="231" spans="1:20" x14ac:dyDescent="0.3">
      <c r="A231">
        <v>164.80000305175801</v>
      </c>
      <c r="B231">
        <v>173.080001831055</v>
      </c>
      <c r="C231">
        <v>168.52999877929699</v>
      </c>
      <c r="D231">
        <v>175.49000549316401</v>
      </c>
      <c r="E231">
        <v>176.53999328613301</v>
      </c>
      <c r="F231">
        <v>160.52999877929699</v>
      </c>
      <c r="G231">
        <v>170.52999877929699</v>
      </c>
      <c r="H231">
        <v>167.88000488281301</v>
      </c>
      <c r="I231">
        <v>164.169998168945</v>
      </c>
      <c r="J231">
        <v>169.22999572753901</v>
      </c>
      <c r="K231">
        <v>163.14999389648401</v>
      </c>
      <c r="L231">
        <v>168.27000427246099</v>
      </c>
      <c r="M231">
        <v>169.169998168945</v>
      </c>
      <c r="N231">
        <v>176.69000244140599</v>
      </c>
      <c r="O231">
        <v>167.91000366210901</v>
      </c>
      <c r="P231">
        <v>174.16000366210901</v>
      </c>
      <c r="Q231">
        <v>177.05000305175801</v>
      </c>
      <c r="R231">
        <v>172.39999389648401</v>
      </c>
      <c r="S231">
        <v>162.28999328613301</v>
      </c>
      <c r="T231">
        <v>167.05999755859401</v>
      </c>
    </row>
    <row r="232" spans="1:20" x14ac:dyDescent="0.3">
      <c r="A232">
        <v>165.19999694824199</v>
      </c>
      <c r="B232">
        <v>165.080001831055</v>
      </c>
      <c r="C232">
        <v>170.13000488281199</v>
      </c>
      <c r="D232">
        <v>163.30000305175801</v>
      </c>
      <c r="E232">
        <v>169.82000732421901</v>
      </c>
      <c r="F232">
        <v>173.13999938964801</v>
      </c>
      <c r="G232">
        <v>166.97000122070301</v>
      </c>
      <c r="H232">
        <v>171.27999877929699</v>
      </c>
      <c r="I232">
        <v>168.25999450683599</v>
      </c>
      <c r="J232">
        <v>170.39999389648401</v>
      </c>
      <c r="K232">
        <v>168.38000488281301</v>
      </c>
      <c r="L232">
        <v>179.19000244140599</v>
      </c>
      <c r="M232">
        <v>174.02000427246099</v>
      </c>
      <c r="N232">
        <v>166.33999633789099</v>
      </c>
      <c r="O232">
        <v>167.86000061035199</v>
      </c>
      <c r="P232">
        <v>168.53999328613301</v>
      </c>
      <c r="Q232">
        <v>168.60000610351599</v>
      </c>
      <c r="R232">
        <v>170.47999572753901</v>
      </c>
      <c r="S232">
        <v>170.91000366210901</v>
      </c>
      <c r="T232">
        <v>172.83999633789099</v>
      </c>
    </row>
    <row r="233" spans="1:20" x14ac:dyDescent="0.3">
      <c r="A233">
        <v>166.64999389648401</v>
      </c>
      <c r="B233">
        <v>171.38999938964801</v>
      </c>
      <c r="C233">
        <v>171.35000610351599</v>
      </c>
      <c r="D233">
        <v>170.13000488281199</v>
      </c>
      <c r="E233">
        <v>169.55999755859401</v>
      </c>
      <c r="F233">
        <v>165.72000122070301</v>
      </c>
      <c r="G233">
        <v>172.94999694824199</v>
      </c>
      <c r="H233">
        <v>167.83999633789099</v>
      </c>
      <c r="I233">
        <v>165.22000122070301</v>
      </c>
      <c r="J233">
        <v>166.169998168945</v>
      </c>
      <c r="K233">
        <v>170.05000305175801</v>
      </c>
      <c r="L233">
        <v>174.419998168945</v>
      </c>
      <c r="M233">
        <v>159.13000488281301</v>
      </c>
      <c r="N233">
        <v>174.25999450683599</v>
      </c>
      <c r="O233">
        <v>168.14999389648401</v>
      </c>
      <c r="P233">
        <v>171.38000488281301</v>
      </c>
      <c r="Q233">
        <v>180.80000305175801</v>
      </c>
      <c r="R233">
        <v>167.47000122070301</v>
      </c>
      <c r="S233">
        <v>164.75</v>
      </c>
      <c r="T233">
        <v>168.22000122070301</v>
      </c>
    </row>
    <row r="234" spans="1:20" x14ac:dyDescent="0.3">
      <c r="A234">
        <v>165.91000366210901</v>
      </c>
      <c r="B234">
        <v>170.66000366210901</v>
      </c>
      <c r="C234">
        <v>171.77000427246099</v>
      </c>
      <c r="D234">
        <v>167.42999267578099</v>
      </c>
      <c r="E234">
        <v>170.11999511718801</v>
      </c>
      <c r="F234">
        <v>166.52999877929699</v>
      </c>
      <c r="G234">
        <v>165.63999938964801</v>
      </c>
      <c r="H234">
        <v>170.63999938964801</v>
      </c>
      <c r="I234">
        <v>167.02000427246099</v>
      </c>
      <c r="J234">
        <v>170.46000671386699</v>
      </c>
      <c r="K234">
        <v>170.94000244140599</v>
      </c>
      <c r="L234">
        <v>168.669998168945</v>
      </c>
      <c r="M234">
        <v>162.11000061035199</v>
      </c>
      <c r="N234">
        <v>167.96000671386699</v>
      </c>
      <c r="O234">
        <v>161.19000244140599</v>
      </c>
      <c r="P234">
        <v>167.00999450683599</v>
      </c>
      <c r="Q234">
        <v>168.88999938964801</v>
      </c>
      <c r="R234">
        <v>168.52000427246099</v>
      </c>
      <c r="S234">
        <v>169.88000488281301</v>
      </c>
      <c r="T234">
        <v>167.17999267578099</v>
      </c>
    </row>
    <row r="235" spans="1:20" x14ac:dyDescent="0.3">
      <c r="A235">
        <v>168.85000610351599</v>
      </c>
      <c r="B235">
        <v>168.19000244140599</v>
      </c>
      <c r="C235">
        <v>175.07000732421901</v>
      </c>
      <c r="D235">
        <v>168.30999755859401</v>
      </c>
      <c r="E235">
        <v>173.00999450683599</v>
      </c>
      <c r="F235">
        <v>168.49000549316401</v>
      </c>
      <c r="G235">
        <v>172.35000610351599</v>
      </c>
      <c r="H235">
        <v>164.419998168945</v>
      </c>
      <c r="I235">
        <v>170.78999328613301</v>
      </c>
      <c r="J235">
        <v>167.80000305175801</v>
      </c>
      <c r="K235">
        <v>170.02000427246099</v>
      </c>
      <c r="L235">
        <v>174.28999328613301</v>
      </c>
      <c r="M235">
        <v>175.71000671386699</v>
      </c>
      <c r="N235">
        <v>175.61000061035199</v>
      </c>
      <c r="O235">
        <v>169.55999755859401</v>
      </c>
      <c r="P235">
        <v>167.419998168945</v>
      </c>
      <c r="Q235">
        <v>177.25999450683599</v>
      </c>
      <c r="R235">
        <v>165.419998168945</v>
      </c>
      <c r="S235">
        <v>164.49000549316401</v>
      </c>
      <c r="T235">
        <v>169.30000305175801</v>
      </c>
    </row>
    <row r="236" spans="1:20" x14ac:dyDescent="0.3">
      <c r="A236">
        <v>180.24000549316401</v>
      </c>
      <c r="B236">
        <v>169.63999938964801</v>
      </c>
      <c r="C236">
        <v>170.830001831055</v>
      </c>
      <c r="D236">
        <v>173.25</v>
      </c>
      <c r="E236">
        <v>168.61999511718801</v>
      </c>
      <c r="F236">
        <v>170.89999389648401</v>
      </c>
      <c r="G236">
        <v>164.30999755859401</v>
      </c>
      <c r="H236">
        <v>171.28999328613301</v>
      </c>
      <c r="I236">
        <v>168.57000732421901</v>
      </c>
      <c r="J236">
        <v>171.11000061035199</v>
      </c>
      <c r="K236">
        <v>176.11000061035199</v>
      </c>
      <c r="L236">
        <v>163.02999877929699</v>
      </c>
      <c r="M236">
        <v>173.58999633789099</v>
      </c>
      <c r="N236">
        <v>175.75</v>
      </c>
      <c r="O236">
        <v>171.72000122070301</v>
      </c>
      <c r="P236">
        <v>169.96000671386699</v>
      </c>
      <c r="Q236">
        <v>173.17999267578099</v>
      </c>
      <c r="R236">
        <v>178.33999633789099</v>
      </c>
      <c r="S236">
        <v>168.64999389648401</v>
      </c>
      <c r="T236">
        <v>169.580001831055</v>
      </c>
    </row>
    <row r="237" spans="1:20" x14ac:dyDescent="0.3">
      <c r="A237">
        <v>169.5</v>
      </c>
      <c r="B237">
        <v>170.85000610351599</v>
      </c>
      <c r="C237">
        <v>172.27999877929699</v>
      </c>
      <c r="D237">
        <v>171.88999938964801</v>
      </c>
      <c r="E237">
        <v>174.00999450683599</v>
      </c>
      <c r="F237">
        <v>169.22000122070301</v>
      </c>
      <c r="G237">
        <v>162.36000061035199</v>
      </c>
      <c r="H237">
        <v>172.50999450683599</v>
      </c>
      <c r="I237">
        <v>169.02000427246099</v>
      </c>
      <c r="J237">
        <v>167.46000671386699</v>
      </c>
      <c r="K237">
        <v>173.67999267578099</v>
      </c>
      <c r="L237">
        <v>167.75999450683599</v>
      </c>
      <c r="M237">
        <v>172.02999877929699</v>
      </c>
      <c r="N237">
        <v>167.08999633789099</v>
      </c>
      <c r="O237">
        <v>163.75999450683599</v>
      </c>
      <c r="P237">
        <v>171.13999938964801</v>
      </c>
      <c r="Q237">
        <v>164.55000305175801</v>
      </c>
      <c r="R237">
        <v>169.60000610351599</v>
      </c>
      <c r="S237">
        <v>166.10000610351599</v>
      </c>
      <c r="T237">
        <v>172.14999389648401</v>
      </c>
    </row>
    <row r="238" spans="1:20" x14ac:dyDescent="0.3">
      <c r="A238">
        <v>164.42999267578099</v>
      </c>
      <c r="B238">
        <v>171.50999450683599</v>
      </c>
      <c r="C238">
        <v>170.05000305175801</v>
      </c>
      <c r="D238">
        <v>172.75</v>
      </c>
      <c r="E238">
        <v>170.580001831055</v>
      </c>
      <c r="F238">
        <v>168.75999450683599</v>
      </c>
      <c r="G238">
        <v>170.72999572753901</v>
      </c>
      <c r="H238">
        <v>166.22000122070301</v>
      </c>
      <c r="I238">
        <v>167.17999267578099</v>
      </c>
      <c r="J238">
        <v>175.830001831055</v>
      </c>
      <c r="K238">
        <v>168.61000061035199</v>
      </c>
      <c r="L238">
        <v>164.25999450683599</v>
      </c>
      <c r="M238">
        <v>175.72000122070301</v>
      </c>
      <c r="N238">
        <v>178.21000671386699</v>
      </c>
      <c r="O238">
        <v>165.19000244140599</v>
      </c>
      <c r="P238">
        <v>164.36000061035199</v>
      </c>
      <c r="Q238">
        <v>169.69999694824199</v>
      </c>
      <c r="R238">
        <v>169.41000366210901</v>
      </c>
      <c r="S238">
        <v>173.94999694824199</v>
      </c>
      <c r="T238">
        <v>168.02999877929699</v>
      </c>
    </row>
    <row r="239" spans="1:20" x14ac:dyDescent="0.3">
      <c r="A239">
        <v>168.97999572753901</v>
      </c>
      <c r="B239">
        <v>168.97999572753901</v>
      </c>
      <c r="C239">
        <v>169.86999511718801</v>
      </c>
      <c r="D239">
        <v>168.99000549316401</v>
      </c>
      <c r="E239">
        <v>173.92999267578099</v>
      </c>
      <c r="F239">
        <v>170.50999450683599</v>
      </c>
      <c r="G239">
        <v>170.830001831055</v>
      </c>
      <c r="H239">
        <v>173.21000671386699</v>
      </c>
      <c r="I239">
        <v>170.25999450683599</v>
      </c>
      <c r="J239">
        <v>168.78999328613301</v>
      </c>
      <c r="K239">
        <v>173.91000366210901</v>
      </c>
      <c r="L239">
        <v>172.94000244140599</v>
      </c>
      <c r="M239">
        <v>163.47000122070301</v>
      </c>
      <c r="N239">
        <v>169.330001831055</v>
      </c>
      <c r="O239">
        <v>164.61999511718801</v>
      </c>
      <c r="P239">
        <v>173.66000366210901</v>
      </c>
      <c r="Q239">
        <v>167.05000305175801</v>
      </c>
      <c r="R239">
        <v>161.61999511718801</v>
      </c>
      <c r="S239">
        <v>172.46000671386699</v>
      </c>
      <c r="T239">
        <v>164.88999938964801</v>
      </c>
    </row>
    <row r="240" spans="1:20" x14ac:dyDescent="0.3">
      <c r="A240">
        <v>164.97000122070301</v>
      </c>
      <c r="B240">
        <v>168</v>
      </c>
      <c r="C240">
        <v>170.41000366210901</v>
      </c>
      <c r="D240">
        <v>172.169998168945</v>
      </c>
      <c r="E240">
        <v>171.49000549316401</v>
      </c>
      <c r="F240">
        <v>168.830001831055</v>
      </c>
      <c r="G240">
        <v>170.89999389648401</v>
      </c>
      <c r="H240">
        <v>170.669998168945</v>
      </c>
      <c r="I240">
        <v>167.330001831055</v>
      </c>
      <c r="J240">
        <v>170.36000061035199</v>
      </c>
      <c r="K240">
        <v>175.46000671386699</v>
      </c>
      <c r="L240">
        <v>168.60000610351599</v>
      </c>
      <c r="M240">
        <v>165.97999572753901</v>
      </c>
      <c r="N240">
        <v>178.07000732421901</v>
      </c>
      <c r="O240">
        <v>165.580001831055</v>
      </c>
      <c r="P240">
        <v>167.47000122070301</v>
      </c>
      <c r="Q240">
        <v>172.94999694824199</v>
      </c>
      <c r="R240">
        <v>177.47999572753901</v>
      </c>
      <c r="S240">
        <v>170.77000427246099</v>
      </c>
      <c r="T240">
        <v>168.78999328613301</v>
      </c>
    </row>
    <row r="241" spans="1:20" x14ac:dyDescent="0.3">
      <c r="A241">
        <v>169.89999389648401</v>
      </c>
      <c r="B241">
        <v>170.44999694824199</v>
      </c>
      <c r="C241">
        <v>168.94999694824199</v>
      </c>
      <c r="D241">
        <v>169.99000549316401</v>
      </c>
      <c r="E241">
        <v>172.38999938964801</v>
      </c>
      <c r="F241">
        <v>169.24000549316401</v>
      </c>
      <c r="G241">
        <v>167.88000488281301</v>
      </c>
      <c r="H241">
        <v>169.89999389648401</v>
      </c>
      <c r="I241">
        <v>167.13000488281301</v>
      </c>
      <c r="J241">
        <v>169.64999389648401</v>
      </c>
      <c r="K241">
        <v>169.80999755859401</v>
      </c>
      <c r="L241">
        <v>162.19000244140599</v>
      </c>
      <c r="M241">
        <v>175.61999511718801</v>
      </c>
      <c r="N241">
        <v>165.19000244140599</v>
      </c>
      <c r="O241">
        <v>168.24000549316401</v>
      </c>
      <c r="P241">
        <v>168.36000061035199</v>
      </c>
      <c r="Q241">
        <v>163.36999511718801</v>
      </c>
      <c r="R241">
        <v>169.36999511718801</v>
      </c>
      <c r="S241">
        <v>164.67999267578099</v>
      </c>
      <c r="T241">
        <v>173.91000366210901</v>
      </c>
    </row>
    <row r="242" spans="1:20" x14ac:dyDescent="0.3">
      <c r="A242">
        <v>166.61999511718801</v>
      </c>
      <c r="B242">
        <v>169.11000061035199</v>
      </c>
      <c r="C242">
        <v>171.169998168945</v>
      </c>
      <c r="D242">
        <v>168.00999450683599</v>
      </c>
      <c r="E242">
        <v>173.08999633789099</v>
      </c>
      <c r="F242">
        <v>166.11999511718699</v>
      </c>
      <c r="G242">
        <v>173.05999755859401</v>
      </c>
      <c r="H242">
        <v>170.11999511718801</v>
      </c>
      <c r="I242">
        <v>159.75999450683599</v>
      </c>
      <c r="J242">
        <v>170.69999694824199</v>
      </c>
      <c r="K242">
        <v>165.88999938964801</v>
      </c>
      <c r="L242">
        <v>170.53999328613301</v>
      </c>
      <c r="M242">
        <v>172.11999511718801</v>
      </c>
      <c r="N242">
        <v>168.33999633789099</v>
      </c>
      <c r="O242">
        <v>175.16000366210901</v>
      </c>
      <c r="P242">
        <v>174.77999877929699</v>
      </c>
      <c r="Q242">
        <v>163.669998168945</v>
      </c>
      <c r="R242">
        <v>168.55000305175801</v>
      </c>
      <c r="S242">
        <v>162.36999511718801</v>
      </c>
      <c r="T242">
        <v>168.33999633789099</v>
      </c>
    </row>
    <row r="243" spans="1:20" x14ac:dyDescent="0.3">
      <c r="A243">
        <v>177.13000488281301</v>
      </c>
      <c r="B243">
        <v>165.38999938964801</v>
      </c>
      <c r="C243">
        <v>168.88999938964801</v>
      </c>
      <c r="D243">
        <v>171.47999572753901</v>
      </c>
      <c r="E243">
        <v>175.25</v>
      </c>
      <c r="F243">
        <v>160.52000427246099</v>
      </c>
      <c r="G243">
        <v>173.88999938964801</v>
      </c>
      <c r="H243">
        <v>176.17999267578099</v>
      </c>
      <c r="I243">
        <v>170.49000549316401</v>
      </c>
      <c r="J243">
        <v>174.16000366210901</v>
      </c>
      <c r="K243">
        <v>170.75999450683599</v>
      </c>
      <c r="L243">
        <v>162.13000488281301</v>
      </c>
      <c r="M243">
        <v>172.36999511718699</v>
      </c>
      <c r="N243">
        <v>171.80000305175801</v>
      </c>
      <c r="O243">
        <v>173.00999450683599</v>
      </c>
      <c r="P243">
        <v>174.83999633789099</v>
      </c>
      <c r="Q243">
        <v>170.36999511718801</v>
      </c>
      <c r="R243">
        <v>174.94000244140599</v>
      </c>
      <c r="S243">
        <v>174.13999938964801</v>
      </c>
      <c r="T243">
        <v>167.80000305175801</v>
      </c>
    </row>
    <row r="244" spans="1:20" x14ac:dyDescent="0.3">
      <c r="A244">
        <v>172.33999633789099</v>
      </c>
      <c r="B244">
        <v>171.080001831055</v>
      </c>
      <c r="C244">
        <v>177.82000732421901</v>
      </c>
      <c r="D244">
        <v>167.00999450683599</v>
      </c>
      <c r="E244">
        <v>167.36999511718801</v>
      </c>
      <c r="F244">
        <v>173.86000061035199</v>
      </c>
      <c r="G244">
        <v>167.69999694824199</v>
      </c>
      <c r="H244">
        <v>172.330001831055</v>
      </c>
      <c r="I244">
        <v>165.47000122070301</v>
      </c>
      <c r="J244">
        <v>171.08999633789099</v>
      </c>
      <c r="K244">
        <v>175.38999938964801</v>
      </c>
      <c r="L244">
        <v>174.830001831055</v>
      </c>
      <c r="M244">
        <v>168.13000488281301</v>
      </c>
      <c r="N244">
        <v>172.25</v>
      </c>
      <c r="O244">
        <v>166.38999938964801</v>
      </c>
      <c r="P244">
        <v>176.02999877929699</v>
      </c>
      <c r="Q244">
        <v>176.86000061035199</v>
      </c>
      <c r="R244">
        <v>170.85000610351599</v>
      </c>
      <c r="S244">
        <v>170.22000122070301</v>
      </c>
      <c r="T244">
        <v>173.419998168945</v>
      </c>
    </row>
    <row r="245" spans="1:20" x14ac:dyDescent="0.3">
      <c r="A245">
        <v>165.78999328613301</v>
      </c>
      <c r="B245">
        <v>166.14999389648401</v>
      </c>
      <c r="C245">
        <v>167.30999755859401</v>
      </c>
      <c r="D245">
        <v>164.36000061035199</v>
      </c>
      <c r="E245">
        <v>174.63000488281301</v>
      </c>
      <c r="F245">
        <v>165.72000122070301</v>
      </c>
      <c r="G245">
        <v>171.46000671386699</v>
      </c>
      <c r="H245">
        <v>163.92999267578099</v>
      </c>
      <c r="I245">
        <v>173.47999572753901</v>
      </c>
      <c r="J245">
        <v>168.67999267578099</v>
      </c>
      <c r="K245">
        <v>176.36999511718801</v>
      </c>
      <c r="L245">
        <v>173.63999938964801</v>
      </c>
      <c r="M245">
        <v>163.830001831055</v>
      </c>
      <c r="N245">
        <v>168.50999450683599</v>
      </c>
      <c r="O245">
        <v>163.52999877929699</v>
      </c>
      <c r="P245">
        <v>162.97999572753901</v>
      </c>
      <c r="Q245">
        <v>167.17999267578099</v>
      </c>
      <c r="R245">
        <v>174.72000122070301</v>
      </c>
      <c r="S245">
        <v>166.44999694824199</v>
      </c>
      <c r="T245">
        <v>177.44000244140599</v>
      </c>
    </row>
    <row r="246" spans="1:20" x14ac:dyDescent="0.3">
      <c r="A246">
        <v>167.39999389648401</v>
      </c>
      <c r="B246">
        <v>164.41000366210901</v>
      </c>
      <c r="C246">
        <v>170.08999633789099</v>
      </c>
      <c r="D246">
        <v>170.16000366210901</v>
      </c>
      <c r="E246">
        <v>164.580001831055</v>
      </c>
      <c r="F246">
        <v>171.55999755859401</v>
      </c>
      <c r="G246">
        <v>167.55000305175801</v>
      </c>
      <c r="H246">
        <v>175.27999877929699</v>
      </c>
      <c r="I246">
        <v>179.69999694824199</v>
      </c>
      <c r="J246">
        <v>168.02000427246099</v>
      </c>
      <c r="K246">
        <v>169.69999694824199</v>
      </c>
      <c r="L246">
        <v>168.46000671386699</v>
      </c>
      <c r="M246">
        <v>166.25</v>
      </c>
      <c r="N246">
        <v>171.28999328613301</v>
      </c>
      <c r="O246">
        <v>174.03999328613301</v>
      </c>
      <c r="P246">
        <v>167.21000671386699</v>
      </c>
      <c r="Q246">
        <v>165.75</v>
      </c>
      <c r="R246">
        <v>162.88999938964801</v>
      </c>
      <c r="S246">
        <v>170.07000732421901</v>
      </c>
      <c r="T246">
        <v>173.02000427246099</v>
      </c>
    </row>
    <row r="247" spans="1:20" x14ac:dyDescent="0.3">
      <c r="A247">
        <v>177.25</v>
      </c>
      <c r="B247">
        <v>167.35000610351599</v>
      </c>
      <c r="C247">
        <v>168.05999755859401</v>
      </c>
      <c r="D247">
        <v>169.72000122070301</v>
      </c>
      <c r="E247">
        <v>168.91000366210901</v>
      </c>
      <c r="F247">
        <v>164.46000671386699</v>
      </c>
      <c r="G247">
        <v>161.47000122070301</v>
      </c>
      <c r="H247">
        <v>167.27000427246099</v>
      </c>
      <c r="I247">
        <v>171.44000244140599</v>
      </c>
      <c r="J247">
        <v>169.830001831055</v>
      </c>
      <c r="K247">
        <v>176.50999450683599</v>
      </c>
      <c r="L247">
        <v>175.830001831055</v>
      </c>
      <c r="M247">
        <v>178.36000061035199</v>
      </c>
      <c r="N247">
        <v>172.94999694824199</v>
      </c>
      <c r="O247">
        <v>162.67999267578099</v>
      </c>
      <c r="P247">
        <v>164.88000488281301</v>
      </c>
      <c r="Q247">
        <v>175.14999389648401</v>
      </c>
      <c r="R247">
        <v>167.32000732421901</v>
      </c>
      <c r="S247">
        <v>165.47000122070301</v>
      </c>
      <c r="T247">
        <v>167.94999694824199</v>
      </c>
    </row>
    <row r="248" spans="1:20" x14ac:dyDescent="0.3">
      <c r="A248">
        <v>171.28999328613301</v>
      </c>
      <c r="B248">
        <v>169.830001831055</v>
      </c>
      <c r="C248">
        <v>169.99000549316401</v>
      </c>
      <c r="D248">
        <v>168.69999694824199</v>
      </c>
      <c r="E248">
        <v>173.19999694824199</v>
      </c>
      <c r="F248">
        <v>168.94000244140599</v>
      </c>
      <c r="G248">
        <v>171.61999511718801</v>
      </c>
      <c r="H248">
        <v>171.22000122070301</v>
      </c>
      <c r="I248">
        <v>175.92999267578099</v>
      </c>
      <c r="J248">
        <v>172.22999572753901</v>
      </c>
      <c r="K248">
        <v>168.82000732421901</v>
      </c>
      <c r="L248">
        <v>172.669998168945</v>
      </c>
      <c r="M248">
        <v>172.97999572753901</v>
      </c>
      <c r="N248">
        <v>169.22000122070301</v>
      </c>
      <c r="O248">
        <v>167.08999633789099</v>
      </c>
      <c r="P248">
        <v>170.55999755859401</v>
      </c>
      <c r="Q248">
        <v>177.83999633789099</v>
      </c>
      <c r="R248">
        <v>177.38999938964801</v>
      </c>
      <c r="S248">
        <v>171.919998168945</v>
      </c>
      <c r="T248">
        <v>166.39999389648401</v>
      </c>
    </row>
    <row r="249" spans="1:20" x14ac:dyDescent="0.3">
      <c r="A249">
        <v>171.11999511718801</v>
      </c>
      <c r="B249">
        <v>161.86999511718801</v>
      </c>
      <c r="C249">
        <v>165.27999877929699</v>
      </c>
      <c r="D249">
        <v>166.94000244140599</v>
      </c>
      <c r="E249">
        <v>170.69000244140599</v>
      </c>
      <c r="F249">
        <v>170.61000061035199</v>
      </c>
      <c r="G249">
        <v>175.03999328613301</v>
      </c>
      <c r="H249">
        <v>170.55999755859401</v>
      </c>
      <c r="I249">
        <v>170.00999450683599</v>
      </c>
      <c r="J249">
        <v>172.47999572753901</v>
      </c>
      <c r="K249">
        <v>175.30000305175801</v>
      </c>
      <c r="L249">
        <v>162.05999755859401</v>
      </c>
      <c r="M249">
        <v>174.58999633789099</v>
      </c>
      <c r="N249">
        <v>164.97999572753901</v>
      </c>
      <c r="O249">
        <v>171.55999755859401</v>
      </c>
      <c r="P249">
        <v>166.92999267578099</v>
      </c>
      <c r="Q249">
        <v>161.919998168945</v>
      </c>
      <c r="R249">
        <v>165.61000061035199</v>
      </c>
      <c r="S249">
        <v>169.330001831055</v>
      </c>
      <c r="T249">
        <v>174.69000244140599</v>
      </c>
    </row>
    <row r="250" spans="1:20" x14ac:dyDescent="0.3">
      <c r="A250">
        <v>165.72999572753901</v>
      </c>
      <c r="B250">
        <v>174.33999633789099</v>
      </c>
      <c r="C250">
        <v>165.74000549316401</v>
      </c>
      <c r="D250">
        <v>164.13000488281301</v>
      </c>
      <c r="E250">
        <v>163.97999572753901</v>
      </c>
      <c r="F250">
        <v>170</v>
      </c>
      <c r="G250">
        <v>165.13999938964801</v>
      </c>
      <c r="H250">
        <v>170.63000488281301</v>
      </c>
      <c r="I250">
        <v>169.919998168945</v>
      </c>
      <c r="J250">
        <v>168.72000122070301</v>
      </c>
      <c r="K250">
        <v>170.99000549316401</v>
      </c>
      <c r="L250">
        <v>166.94999694824199</v>
      </c>
      <c r="M250">
        <v>169.05000305175801</v>
      </c>
      <c r="N250">
        <v>172.00999450683599</v>
      </c>
      <c r="O250">
        <v>172.77999877929699</v>
      </c>
      <c r="P250">
        <v>166.580001831055</v>
      </c>
      <c r="Q250">
        <v>170.86999511718801</v>
      </c>
      <c r="R250">
        <v>161.36000061035199</v>
      </c>
      <c r="S250">
        <v>172.00999450683599</v>
      </c>
      <c r="T250">
        <v>171.02999877929699</v>
      </c>
    </row>
    <row r="251" spans="1:20" x14ac:dyDescent="0.3">
      <c r="A251">
        <v>173.27000427246099</v>
      </c>
      <c r="B251">
        <v>172.80999755859401</v>
      </c>
      <c r="C251">
        <v>167.32000732421901</v>
      </c>
      <c r="D251">
        <v>173.63000488281301</v>
      </c>
      <c r="E251">
        <v>166.83999633789099</v>
      </c>
      <c r="F251">
        <v>172.27000427246099</v>
      </c>
      <c r="G251">
        <v>169.52000427246099</v>
      </c>
      <c r="H251">
        <v>172.41000366210901</v>
      </c>
      <c r="I251">
        <v>161.03999328613301</v>
      </c>
      <c r="J251">
        <v>169.74000549316401</v>
      </c>
      <c r="K251">
        <v>171.10000610351599</v>
      </c>
      <c r="L251">
        <v>171.94999694824199</v>
      </c>
      <c r="M251">
        <v>173.36999511718801</v>
      </c>
      <c r="N251">
        <v>178.72000122070301</v>
      </c>
      <c r="O251">
        <v>169.55999755859401</v>
      </c>
      <c r="P251">
        <v>169.72999572753901</v>
      </c>
      <c r="Q251">
        <v>169.330001831055</v>
      </c>
      <c r="R251">
        <v>164.69000244140599</v>
      </c>
      <c r="S251">
        <v>166.38999938964801</v>
      </c>
      <c r="T251">
        <v>171.27999877929699</v>
      </c>
    </row>
    <row r="252" spans="1:20" x14ac:dyDescent="0.3">
      <c r="A252">
        <v>170.74000549316401</v>
      </c>
      <c r="B252">
        <v>175.17999267578099</v>
      </c>
      <c r="C252">
        <v>171.85000610351599</v>
      </c>
      <c r="D252">
        <v>172.19000244140599</v>
      </c>
      <c r="E252">
        <v>169.91000366210901</v>
      </c>
      <c r="F252">
        <v>176.97999572753901</v>
      </c>
      <c r="G252">
        <v>167.61999511718801</v>
      </c>
      <c r="H252">
        <v>166.27000427246099</v>
      </c>
      <c r="I252">
        <v>167.64999389648401</v>
      </c>
      <c r="J252">
        <v>168.72999572753901</v>
      </c>
      <c r="K252">
        <v>172.69999694824199</v>
      </c>
      <c r="L252">
        <v>169.03999328613301</v>
      </c>
      <c r="M252">
        <v>165.46000671386699</v>
      </c>
      <c r="N252">
        <v>167.91000366210901</v>
      </c>
      <c r="O252">
        <v>168.61000061035199</v>
      </c>
      <c r="P252">
        <v>166.00999450683599</v>
      </c>
      <c r="Q252">
        <v>160.830001831055</v>
      </c>
      <c r="R252">
        <v>164.02999877929699</v>
      </c>
      <c r="S252">
        <v>172.82000732421901</v>
      </c>
      <c r="T252">
        <v>170.669998168945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5E7FB-A097-4496-B722-C6B1A7B1C314}">
  <sheetPr codeName="Feuil6"/>
  <dimension ref="B1:L1002"/>
  <sheetViews>
    <sheetView topLeftCell="B1" workbookViewId="0">
      <selection activeCell="K15" sqref="K15"/>
    </sheetView>
  </sheetViews>
  <sheetFormatPr baseColWidth="10" defaultRowHeight="14.4" x14ac:dyDescent="0.3"/>
  <sheetData>
    <row r="1" spans="2:12" ht="15" thickBot="1" x14ac:dyDescent="0.35">
      <c r="B1" s="120" t="s">
        <v>37</v>
      </c>
      <c r="C1" s="121"/>
      <c r="D1" s="121"/>
      <c r="E1" s="121"/>
      <c r="F1" s="122"/>
      <c r="H1" s="120" t="s">
        <v>32</v>
      </c>
      <c r="I1" s="121"/>
      <c r="J1" s="121"/>
      <c r="K1" s="121"/>
      <c r="L1" s="122"/>
    </row>
    <row r="2" spans="2:12" ht="15" thickBot="1" x14ac:dyDescent="0.35">
      <c r="B2" s="36" t="s">
        <v>36</v>
      </c>
      <c r="C2" s="37">
        <v>5</v>
      </c>
      <c r="D2" s="37">
        <v>10</v>
      </c>
      <c r="E2" s="37">
        <v>100</v>
      </c>
      <c r="F2" s="38">
        <v>1000</v>
      </c>
      <c r="H2" s="36" t="s">
        <v>36</v>
      </c>
      <c r="I2" s="37">
        <v>5</v>
      </c>
      <c r="J2" s="37">
        <v>10</v>
      </c>
      <c r="K2" s="37">
        <v>100</v>
      </c>
      <c r="L2" s="38">
        <v>1000</v>
      </c>
    </row>
    <row r="3" spans="2:12" ht="15" thickBot="1" x14ac:dyDescent="0.35">
      <c r="C3" s="24" t="str">
        <f ca="1">IF(RAND() &lt;= 0.5, "pile", "face")</f>
        <v>pile</v>
      </c>
      <c r="D3" s="24" t="str">
        <f ca="1">IF(RAND() &lt;= 0.5, "pile", "face")</f>
        <v>pile</v>
      </c>
      <c r="E3" s="28" t="str">
        <f ca="1">IF(RAND() &lt;= 0.5, "pile", "face")</f>
        <v>face</v>
      </c>
      <c r="F3" s="28" t="str">
        <f ca="1">IF(RAND() &lt;= 0.5, "pile", "face")</f>
        <v>face</v>
      </c>
      <c r="H3" s="79" t="s">
        <v>38</v>
      </c>
      <c r="I3" s="39">
        <f ca="1">COUNTIF(C3:C1002, "pile")</f>
        <v>3</v>
      </c>
      <c r="J3" s="78">
        <f ca="1">COUNTIF(D3:D1002, "pile")</f>
        <v>7</v>
      </c>
      <c r="K3" s="39">
        <f ca="1">COUNTIF(E3:E1002, "pile")</f>
        <v>45</v>
      </c>
      <c r="L3" s="41">
        <f ca="1">COUNTIF(F3:F1002, "pile")</f>
        <v>506</v>
      </c>
    </row>
    <row r="4" spans="2:12" ht="15" thickBot="1" x14ac:dyDescent="0.35">
      <c r="C4" s="25" t="str">
        <f t="shared" ref="C4:F19" ca="1" si="0">IF(RAND() &lt;= 0.5, "pile", "face")</f>
        <v>pile</v>
      </c>
      <c r="D4" s="25" t="str">
        <f t="shared" ca="1" si="0"/>
        <v>pile</v>
      </c>
      <c r="E4" s="29" t="str">
        <f t="shared" ca="1" si="0"/>
        <v>face</v>
      </c>
      <c r="F4" s="29" t="str">
        <f t="shared" ca="1" si="0"/>
        <v>face</v>
      </c>
      <c r="H4" s="80" t="s">
        <v>39</v>
      </c>
      <c r="I4" s="39">
        <f ca="1">COUNTIF(C3:C1002, "face")</f>
        <v>2</v>
      </c>
      <c r="J4" s="78">
        <f t="shared" ref="J4:L4" ca="1" si="1">COUNTIF(D3:D1002, "face")</f>
        <v>3</v>
      </c>
      <c r="K4" s="39">
        <f t="shared" ca="1" si="1"/>
        <v>55</v>
      </c>
      <c r="L4" s="41">
        <f t="shared" ca="1" si="1"/>
        <v>494</v>
      </c>
    </row>
    <row r="5" spans="2:12" x14ac:dyDescent="0.3">
      <c r="C5" s="25" t="str">
        <f t="shared" ca="1" si="0"/>
        <v>face</v>
      </c>
      <c r="D5" s="25" t="str">
        <f t="shared" ca="1" si="0"/>
        <v>pile</v>
      </c>
      <c r="E5" s="29" t="str">
        <f t="shared" ca="1" si="0"/>
        <v>pile</v>
      </c>
      <c r="F5" s="29" t="str">
        <f t="shared" ca="1" si="0"/>
        <v>face</v>
      </c>
    </row>
    <row r="6" spans="2:12" x14ac:dyDescent="0.3">
      <c r="C6" s="25" t="str">
        <f t="shared" ca="1" si="0"/>
        <v>pile</v>
      </c>
      <c r="D6" s="25" t="str">
        <f t="shared" ca="1" si="0"/>
        <v>pile</v>
      </c>
      <c r="E6" s="29" t="str">
        <f t="shared" ca="1" si="0"/>
        <v>pile</v>
      </c>
      <c r="F6" s="29" t="str">
        <f t="shared" ca="1" si="0"/>
        <v>face</v>
      </c>
    </row>
    <row r="7" spans="2:12" ht="15" thickBot="1" x14ac:dyDescent="0.35">
      <c r="C7" s="26" t="str">
        <f t="shared" ca="1" si="0"/>
        <v>face</v>
      </c>
      <c r="D7" s="25" t="str">
        <f t="shared" ca="1" si="0"/>
        <v>pile</v>
      </c>
      <c r="E7" s="29" t="str">
        <f t="shared" ca="1" si="0"/>
        <v>pile</v>
      </c>
      <c r="F7" s="29" t="str">
        <f t="shared" ca="1" si="0"/>
        <v>pile</v>
      </c>
    </row>
    <row r="8" spans="2:12" x14ac:dyDescent="0.3">
      <c r="D8" s="25" t="str">
        <f t="shared" ca="1" si="0"/>
        <v>pile</v>
      </c>
      <c r="E8" s="29" t="str">
        <f t="shared" ca="1" si="0"/>
        <v>face</v>
      </c>
      <c r="F8" s="29" t="str">
        <f t="shared" ca="1" si="0"/>
        <v>face</v>
      </c>
    </row>
    <row r="9" spans="2:12" x14ac:dyDescent="0.3">
      <c r="D9" s="25" t="str">
        <f t="shared" ca="1" si="0"/>
        <v>face</v>
      </c>
      <c r="E9" s="29" t="str">
        <f t="shared" ca="1" si="0"/>
        <v>pile</v>
      </c>
      <c r="F9" s="29" t="str">
        <f t="shared" ca="1" si="0"/>
        <v>face</v>
      </c>
    </row>
    <row r="10" spans="2:12" x14ac:dyDescent="0.3">
      <c r="D10" s="25" t="str">
        <f t="shared" ca="1" si="0"/>
        <v>pile</v>
      </c>
      <c r="E10" s="29" t="str">
        <f t="shared" ca="1" si="0"/>
        <v>pile</v>
      </c>
      <c r="F10" s="29" t="str">
        <f t="shared" ca="1" si="0"/>
        <v>pile</v>
      </c>
    </row>
    <row r="11" spans="2:12" x14ac:dyDescent="0.3">
      <c r="D11" s="25" t="str">
        <f t="shared" ca="1" si="0"/>
        <v>face</v>
      </c>
      <c r="E11" s="29" t="str">
        <f t="shared" ca="1" si="0"/>
        <v>pile</v>
      </c>
      <c r="F11" s="29" t="str">
        <f t="shared" ca="1" si="0"/>
        <v>pile</v>
      </c>
    </row>
    <row r="12" spans="2:12" ht="15" thickBot="1" x14ac:dyDescent="0.35">
      <c r="D12" s="26" t="str">
        <f t="shared" ca="1" si="0"/>
        <v>face</v>
      </c>
      <c r="E12" s="29" t="str">
        <f t="shared" ca="1" si="0"/>
        <v>face</v>
      </c>
      <c r="F12" s="29" t="str">
        <f t="shared" ca="1" si="0"/>
        <v>face</v>
      </c>
    </row>
    <row r="13" spans="2:12" x14ac:dyDescent="0.3">
      <c r="E13" s="29" t="str">
        <f t="shared" ca="1" si="0"/>
        <v>pile</v>
      </c>
      <c r="F13" s="29" t="str">
        <f t="shared" ca="1" si="0"/>
        <v>pile</v>
      </c>
    </row>
    <row r="14" spans="2:12" x14ac:dyDescent="0.3">
      <c r="E14" s="29" t="str">
        <f t="shared" ca="1" si="0"/>
        <v>pile</v>
      </c>
      <c r="F14" s="29" t="str">
        <f t="shared" ca="1" si="0"/>
        <v>pile</v>
      </c>
    </row>
    <row r="15" spans="2:12" x14ac:dyDescent="0.3">
      <c r="E15" s="29" t="str">
        <f t="shared" ca="1" si="0"/>
        <v>face</v>
      </c>
      <c r="F15" s="29" t="str">
        <f t="shared" ca="1" si="0"/>
        <v>face</v>
      </c>
    </row>
    <row r="16" spans="2:12" x14ac:dyDescent="0.3">
      <c r="E16" s="29" t="str">
        <f t="shared" ca="1" si="0"/>
        <v>pile</v>
      </c>
      <c r="F16" s="29" t="str">
        <f t="shared" ca="1" si="0"/>
        <v>face</v>
      </c>
    </row>
    <row r="17" spans="5:6" x14ac:dyDescent="0.3">
      <c r="E17" s="29" t="str">
        <f t="shared" ca="1" si="0"/>
        <v>face</v>
      </c>
      <c r="F17" s="29" t="str">
        <f t="shared" ca="1" si="0"/>
        <v>pile</v>
      </c>
    </row>
    <row r="18" spans="5:6" x14ac:dyDescent="0.3">
      <c r="E18" s="29" t="str">
        <f t="shared" ca="1" si="0"/>
        <v>face</v>
      </c>
      <c r="F18" s="29" t="str">
        <f t="shared" ca="1" si="0"/>
        <v>face</v>
      </c>
    </row>
    <row r="19" spans="5:6" x14ac:dyDescent="0.3">
      <c r="E19" s="29" t="str">
        <f t="shared" ca="1" si="0"/>
        <v>face</v>
      </c>
      <c r="F19" s="29" t="str">
        <f t="shared" ca="1" si="0"/>
        <v>pile</v>
      </c>
    </row>
    <row r="20" spans="5:6" x14ac:dyDescent="0.3">
      <c r="E20" s="29" t="str">
        <f t="shared" ref="E20:F83" ca="1" si="2">IF(RAND() &lt;= 0.5, "pile", "face")</f>
        <v>face</v>
      </c>
      <c r="F20" s="29" t="str">
        <f t="shared" ca="1" si="2"/>
        <v>face</v>
      </c>
    </row>
    <row r="21" spans="5:6" x14ac:dyDescent="0.3">
      <c r="E21" s="29" t="str">
        <f t="shared" ca="1" si="2"/>
        <v>pile</v>
      </c>
      <c r="F21" s="29" t="str">
        <f t="shared" ca="1" si="2"/>
        <v>pile</v>
      </c>
    </row>
    <row r="22" spans="5:6" x14ac:dyDescent="0.3">
      <c r="E22" s="29" t="str">
        <f t="shared" ca="1" si="2"/>
        <v>face</v>
      </c>
      <c r="F22" s="29" t="str">
        <f t="shared" ca="1" si="2"/>
        <v>pile</v>
      </c>
    </row>
    <row r="23" spans="5:6" x14ac:dyDescent="0.3">
      <c r="E23" s="29" t="str">
        <f t="shared" ca="1" si="2"/>
        <v>pile</v>
      </c>
      <c r="F23" s="29" t="str">
        <f t="shared" ca="1" si="2"/>
        <v>face</v>
      </c>
    </row>
    <row r="24" spans="5:6" x14ac:dyDescent="0.3">
      <c r="E24" s="29" t="str">
        <f t="shared" ca="1" si="2"/>
        <v>pile</v>
      </c>
      <c r="F24" s="29" t="str">
        <f t="shared" ca="1" si="2"/>
        <v>pile</v>
      </c>
    </row>
    <row r="25" spans="5:6" x14ac:dyDescent="0.3">
      <c r="E25" s="29" t="str">
        <f t="shared" ca="1" si="2"/>
        <v>face</v>
      </c>
      <c r="F25" s="29" t="str">
        <f t="shared" ca="1" si="2"/>
        <v>pile</v>
      </c>
    </row>
    <row r="26" spans="5:6" x14ac:dyDescent="0.3">
      <c r="E26" s="29" t="str">
        <f t="shared" ca="1" si="2"/>
        <v>face</v>
      </c>
      <c r="F26" s="29" t="str">
        <f t="shared" ca="1" si="2"/>
        <v>pile</v>
      </c>
    </row>
    <row r="27" spans="5:6" x14ac:dyDescent="0.3">
      <c r="E27" s="29" t="str">
        <f t="shared" ca="1" si="2"/>
        <v>face</v>
      </c>
      <c r="F27" s="29" t="str">
        <f t="shared" ca="1" si="2"/>
        <v>face</v>
      </c>
    </row>
    <row r="28" spans="5:6" x14ac:dyDescent="0.3">
      <c r="E28" s="29" t="str">
        <f t="shared" ca="1" si="2"/>
        <v>face</v>
      </c>
      <c r="F28" s="29" t="str">
        <f t="shared" ca="1" si="2"/>
        <v>pile</v>
      </c>
    </row>
    <row r="29" spans="5:6" x14ac:dyDescent="0.3">
      <c r="E29" s="29" t="str">
        <f t="shared" ca="1" si="2"/>
        <v>face</v>
      </c>
      <c r="F29" s="29" t="str">
        <f t="shared" ca="1" si="2"/>
        <v>face</v>
      </c>
    </row>
    <row r="30" spans="5:6" x14ac:dyDescent="0.3">
      <c r="E30" s="29" t="str">
        <f t="shared" ca="1" si="2"/>
        <v>pile</v>
      </c>
      <c r="F30" s="29" t="str">
        <f t="shared" ca="1" si="2"/>
        <v>pile</v>
      </c>
    </row>
    <row r="31" spans="5:6" x14ac:dyDescent="0.3">
      <c r="E31" s="29" t="str">
        <f t="shared" ca="1" si="2"/>
        <v>face</v>
      </c>
      <c r="F31" s="29" t="str">
        <f t="shared" ca="1" si="2"/>
        <v>face</v>
      </c>
    </row>
    <row r="32" spans="5:6" x14ac:dyDescent="0.3">
      <c r="E32" s="29" t="str">
        <f t="shared" ca="1" si="2"/>
        <v>face</v>
      </c>
      <c r="F32" s="29" t="str">
        <f t="shared" ca="1" si="2"/>
        <v>pile</v>
      </c>
    </row>
    <row r="33" spans="5:6" x14ac:dyDescent="0.3">
      <c r="E33" s="29" t="str">
        <f t="shared" ca="1" si="2"/>
        <v>face</v>
      </c>
      <c r="F33" s="29" t="str">
        <f t="shared" ca="1" si="2"/>
        <v>face</v>
      </c>
    </row>
    <row r="34" spans="5:6" x14ac:dyDescent="0.3">
      <c r="E34" s="29" t="str">
        <f t="shared" ca="1" si="2"/>
        <v>pile</v>
      </c>
      <c r="F34" s="29" t="str">
        <f t="shared" ca="1" si="2"/>
        <v>face</v>
      </c>
    </row>
    <row r="35" spans="5:6" x14ac:dyDescent="0.3">
      <c r="E35" s="29" t="str">
        <f t="shared" ca="1" si="2"/>
        <v>pile</v>
      </c>
      <c r="F35" s="29" t="str">
        <f t="shared" ca="1" si="2"/>
        <v>face</v>
      </c>
    </row>
    <row r="36" spans="5:6" x14ac:dyDescent="0.3">
      <c r="E36" s="29" t="str">
        <f t="shared" ca="1" si="2"/>
        <v>face</v>
      </c>
      <c r="F36" s="29" t="str">
        <f t="shared" ca="1" si="2"/>
        <v>face</v>
      </c>
    </row>
    <row r="37" spans="5:6" x14ac:dyDescent="0.3">
      <c r="E37" s="29" t="str">
        <f t="shared" ca="1" si="2"/>
        <v>pile</v>
      </c>
      <c r="F37" s="29" t="str">
        <f t="shared" ca="1" si="2"/>
        <v>pile</v>
      </c>
    </row>
    <row r="38" spans="5:6" x14ac:dyDescent="0.3">
      <c r="E38" s="29" t="str">
        <f t="shared" ca="1" si="2"/>
        <v>pile</v>
      </c>
      <c r="F38" s="29" t="str">
        <f t="shared" ca="1" si="2"/>
        <v>face</v>
      </c>
    </row>
    <row r="39" spans="5:6" x14ac:dyDescent="0.3">
      <c r="E39" s="29" t="str">
        <f t="shared" ca="1" si="2"/>
        <v>face</v>
      </c>
      <c r="F39" s="29" t="str">
        <f t="shared" ca="1" si="2"/>
        <v>pile</v>
      </c>
    </row>
    <row r="40" spans="5:6" x14ac:dyDescent="0.3">
      <c r="E40" s="29" t="str">
        <f t="shared" ca="1" si="2"/>
        <v>face</v>
      </c>
      <c r="F40" s="29" t="str">
        <f t="shared" ca="1" si="2"/>
        <v>pile</v>
      </c>
    </row>
    <row r="41" spans="5:6" x14ac:dyDescent="0.3">
      <c r="E41" s="29" t="str">
        <f t="shared" ca="1" si="2"/>
        <v>pile</v>
      </c>
      <c r="F41" s="29" t="str">
        <f t="shared" ca="1" si="2"/>
        <v>pile</v>
      </c>
    </row>
    <row r="42" spans="5:6" x14ac:dyDescent="0.3">
      <c r="E42" s="29" t="str">
        <f t="shared" ca="1" si="2"/>
        <v>face</v>
      </c>
      <c r="F42" s="29" t="str">
        <f t="shared" ca="1" si="2"/>
        <v>face</v>
      </c>
    </row>
    <row r="43" spans="5:6" x14ac:dyDescent="0.3">
      <c r="E43" s="29" t="str">
        <f t="shared" ca="1" si="2"/>
        <v>face</v>
      </c>
      <c r="F43" s="29" t="str">
        <f t="shared" ca="1" si="2"/>
        <v>face</v>
      </c>
    </row>
    <row r="44" spans="5:6" x14ac:dyDescent="0.3">
      <c r="E44" s="29" t="str">
        <f t="shared" ca="1" si="2"/>
        <v>pile</v>
      </c>
      <c r="F44" s="29" t="str">
        <f t="shared" ca="1" si="2"/>
        <v>face</v>
      </c>
    </row>
    <row r="45" spans="5:6" x14ac:dyDescent="0.3">
      <c r="E45" s="29" t="str">
        <f t="shared" ca="1" si="2"/>
        <v>pile</v>
      </c>
      <c r="F45" s="29" t="str">
        <f t="shared" ca="1" si="2"/>
        <v>face</v>
      </c>
    </row>
    <row r="46" spans="5:6" x14ac:dyDescent="0.3">
      <c r="E46" s="29" t="str">
        <f t="shared" ca="1" si="2"/>
        <v>pile</v>
      </c>
      <c r="F46" s="29" t="str">
        <f t="shared" ca="1" si="2"/>
        <v>face</v>
      </c>
    </row>
    <row r="47" spans="5:6" x14ac:dyDescent="0.3">
      <c r="E47" s="29" t="str">
        <f t="shared" ca="1" si="2"/>
        <v>face</v>
      </c>
      <c r="F47" s="29" t="str">
        <f t="shared" ca="1" si="2"/>
        <v>face</v>
      </c>
    </row>
    <row r="48" spans="5:6" x14ac:dyDescent="0.3">
      <c r="E48" s="29" t="str">
        <f t="shared" ca="1" si="2"/>
        <v>face</v>
      </c>
      <c r="F48" s="29" t="str">
        <f t="shared" ca="1" si="2"/>
        <v>face</v>
      </c>
    </row>
    <row r="49" spans="5:6" x14ac:dyDescent="0.3">
      <c r="E49" s="29" t="str">
        <f t="shared" ca="1" si="2"/>
        <v>pile</v>
      </c>
      <c r="F49" s="29" t="str">
        <f t="shared" ca="1" si="2"/>
        <v>pile</v>
      </c>
    </row>
    <row r="50" spans="5:6" x14ac:dyDescent="0.3">
      <c r="E50" s="29" t="str">
        <f t="shared" ca="1" si="2"/>
        <v>face</v>
      </c>
      <c r="F50" s="29" t="str">
        <f t="shared" ca="1" si="2"/>
        <v>face</v>
      </c>
    </row>
    <row r="51" spans="5:6" x14ac:dyDescent="0.3">
      <c r="E51" s="29" t="str">
        <f t="shared" ca="1" si="2"/>
        <v>face</v>
      </c>
      <c r="F51" s="29" t="str">
        <f t="shared" ca="1" si="2"/>
        <v>pile</v>
      </c>
    </row>
    <row r="52" spans="5:6" x14ac:dyDescent="0.3">
      <c r="E52" s="29" t="str">
        <f t="shared" ca="1" si="2"/>
        <v>pile</v>
      </c>
      <c r="F52" s="29" t="str">
        <f t="shared" ca="1" si="2"/>
        <v>face</v>
      </c>
    </row>
    <row r="53" spans="5:6" x14ac:dyDescent="0.3">
      <c r="E53" s="29" t="str">
        <f t="shared" ca="1" si="2"/>
        <v>pile</v>
      </c>
      <c r="F53" s="29" t="str">
        <f t="shared" ca="1" si="2"/>
        <v>pile</v>
      </c>
    </row>
    <row r="54" spans="5:6" x14ac:dyDescent="0.3">
      <c r="E54" s="29" t="str">
        <f t="shared" ca="1" si="2"/>
        <v>pile</v>
      </c>
      <c r="F54" s="29" t="str">
        <f t="shared" ca="1" si="2"/>
        <v>face</v>
      </c>
    </row>
    <row r="55" spans="5:6" x14ac:dyDescent="0.3">
      <c r="E55" s="29" t="str">
        <f t="shared" ca="1" si="2"/>
        <v>face</v>
      </c>
      <c r="F55" s="29" t="str">
        <f t="shared" ca="1" si="2"/>
        <v>pile</v>
      </c>
    </row>
    <row r="56" spans="5:6" x14ac:dyDescent="0.3">
      <c r="E56" s="29" t="str">
        <f t="shared" ca="1" si="2"/>
        <v>face</v>
      </c>
      <c r="F56" s="29" t="str">
        <f t="shared" ca="1" si="2"/>
        <v>pile</v>
      </c>
    </row>
    <row r="57" spans="5:6" x14ac:dyDescent="0.3">
      <c r="E57" s="29" t="str">
        <f t="shared" ca="1" si="2"/>
        <v>face</v>
      </c>
      <c r="F57" s="29" t="str">
        <f t="shared" ca="1" si="2"/>
        <v>face</v>
      </c>
    </row>
    <row r="58" spans="5:6" x14ac:dyDescent="0.3">
      <c r="E58" s="29" t="str">
        <f t="shared" ca="1" si="2"/>
        <v>face</v>
      </c>
      <c r="F58" s="29" t="str">
        <f t="shared" ca="1" si="2"/>
        <v>pile</v>
      </c>
    </row>
    <row r="59" spans="5:6" x14ac:dyDescent="0.3">
      <c r="E59" s="29" t="str">
        <f t="shared" ca="1" si="2"/>
        <v>pile</v>
      </c>
      <c r="F59" s="29" t="str">
        <f t="shared" ca="1" si="2"/>
        <v>pile</v>
      </c>
    </row>
    <row r="60" spans="5:6" x14ac:dyDescent="0.3">
      <c r="E60" s="29" t="str">
        <f t="shared" ca="1" si="2"/>
        <v>face</v>
      </c>
      <c r="F60" s="29" t="str">
        <f t="shared" ca="1" si="2"/>
        <v>face</v>
      </c>
    </row>
    <row r="61" spans="5:6" x14ac:dyDescent="0.3">
      <c r="E61" s="29" t="str">
        <f t="shared" ca="1" si="2"/>
        <v>face</v>
      </c>
      <c r="F61" s="29" t="str">
        <f t="shared" ca="1" si="2"/>
        <v>pile</v>
      </c>
    </row>
    <row r="62" spans="5:6" x14ac:dyDescent="0.3">
      <c r="E62" s="29" t="str">
        <f t="shared" ca="1" si="2"/>
        <v>pile</v>
      </c>
      <c r="F62" s="29" t="str">
        <f t="shared" ca="1" si="2"/>
        <v>face</v>
      </c>
    </row>
    <row r="63" spans="5:6" x14ac:dyDescent="0.3">
      <c r="E63" s="29" t="str">
        <f t="shared" ca="1" si="2"/>
        <v>face</v>
      </c>
      <c r="F63" s="29" t="str">
        <f t="shared" ca="1" si="2"/>
        <v>pile</v>
      </c>
    </row>
    <row r="64" spans="5:6" x14ac:dyDescent="0.3">
      <c r="E64" s="29" t="str">
        <f t="shared" ca="1" si="2"/>
        <v>pile</v>
      </c>
      <c r="F64" s="29" t="str">
        <f t="shared" ca="1" si="2"/>
        <v>face</v>
      </c>
    </row>
    <row r="65" spans="5:6" x14ac:dyDescent="0.3">
      <c r="E65" s="29" t="str">
        <f t="shared" ca="1" si="2"/>
        <v>face</v>
      </c>
      <c r="F65" s="29" t="str">
        <f t="shared" ca="1" si="2"/>
        <v>pile</v>
      </c>
    </row>
    <row r="66" spans="5:6" x14ac:dyDescent="0.3">
      <c r="E66" s="29" t="str">
        <f t="shared" ca="1" si="2"/>
        <v>pile</v>
      </c>
      <c r="F66" s="29" t="str">
        <f t="shared" ca="1" si="2"/>
        <v>pile</v>
      </c>
    </row>
    <row r="67" spans="5:6" x14ac:dyDescent="0.3">
      <c r="E67" s="29" t="str">
        <f t="shared" ca="1" si="2"/>
        <v>face</v>
      </c>
      <c r="F67" s="29" t="str">
        <f t="shared" ca="1" si="2"/>
        <v>face</v>
      </c>
    </row>
    <row r="68" spans="5:6" x14ac:dyDescent="0.3">
      <c r="E68" s="29" t="str">
        <f t="shared" ca="1" si="2"/>
        <v>pile</v>
      </c>
      <c r="F68" s="29" t="str">
        <f t="shared" ca="1" si="2"/>
        <v>face</v>
      </c>
    </row>
    <row r="69" spans="5:6" x14ac:dyDescent="0.3">
      <c r="E69" s="29" t="str">
        <f t="shared" ca="1" si="2"/>
        <v>face</v>
      </c>
      <c r="F69" s="29" t="str">
        <f t="shared" ca="1" si="2"/>
        <v>pile</v>
      </c>
    </row>
    <row r="70" spans="5:6" x14ac:dyDescent="0.3">
      <c r="E70" s="29" t="str">
        <f t="shared" ca="1" si="2"/>
        <v>face</v>
      </c>
      <c r="F70" s="29" t="str">
        <f t="shared" ca="1" si="2"/>
        <v>pile</v>
      </c>
    </row>
    <row r="71" spans="5:6" x14ac:dyDescent="0.3">
      <c r="E71" s="29" t="str">
        <f t="shared" ca="1" si="2"/>
        <v>pile</v>
      </c>
      <c r="F71" s="29" t="str">
        <f t="shared" ca="1" si="2"/>
        <v>face</v>
      </c>
    </row>
    <row r="72" spans="5:6" x14ac:dyDescent="0.3">
      <c r="E72" s="29" t="str">
        <f t="shared" ca="1" si="2"/>
        <v>face</v>
      </c>
      <c r="F72" s="29" t="str">
        <f t="shared" ca="1" si="2"/>
        <v>pile</v>
      </c>
    </row>
    <row r="73" spans="5:6" x14ac:dyDescent="0.3">
      <c r="E73" s="29" t="str">
        <f t="shared" ca="1" si="2"/>
        <v>face</v>
      </c>
      <c r="F73" s="29" t="str">
        <f t="shared" ca="1" si="2"/>
        <v>pile</v>
      </c>
    </row>
    <row r="74" spans="5:6" x14ac:dyDescent="0.3">
      <c r="E74" s="29" t="str">
        <f t="shared" ca="1" si="2"/>
        <v>face</v>
      </c>
      <c r="F74" s="29" t="str">
        <f t="shared" ca="1" si="2"/>
        <v>pile</v>
      </c>
    </row>
    <row r="75" spans="5:6" x14ac:dyDescent="0.3">
      <c r="E75" s="29" t="str">
        <f t="shared" ca="1" si="2"/>
        <v>pile</v>
      </c>
      <c r="F75" s="29" t="str">
        <f t="shared" ca="1" si="2"/>
        <v>pile</v>
      </c>
    </row>
    <row r="76" spans="5:6" x14ac:dyDescent="0.3">
      <c r="E76" s="29" t="str">
        <f t="shared" ca="1" si="2"/>
        <v>pile</v>
      </c>
      <c r="F76" s="29" t="str">
        <f t="shared" ca="1" si="2"/>
        <v>face</v>
      </c>
    </row>
    <row r="77" spans="5:6" x14ac:dyDescent="0.3">
      <c r="E77" s="29" t="str">
        <f t="shared" ca="1" si="2"/>
        <v>pile</v>
      </c>
      <c r="F77" s="29" t="str">
        <f t="shared" ca="1" si="2"/>
        <v>pile</v>
      </c>
    </row>
    <row r="78" spans="5:6" x14ac:dyDescent="0.3">
      <c r="E78" s="29" t="str">
        <f t="shared" ca="1" si="2"/>
        <v>face</v>
      </c>
      <c r="F78" s="29" t="str">
        <f t="shared" ca="1" si="2"/>
        <v>face</v>
      </c>
    </row>
    <row r="79" spans="5:6" x14ac:dyDescent="0.3">
      <c r="E79" s="29" t="str">
        <f t="shared" ca="1" si="2"/>
        <v>face</v>
      </c>
      <c r="F79" s="29" t="str">
        <f t="shared" ca="1" si="2"/>
        <v>face</v>
      </c>
    </row>
    <row r="80" spans="5:6" x14ac:dyDescent="0.3">
      <c r="E80" s="29" t="str">
        <f t="shared" ca="1" si="2"/>
        <v>pile</v>
      </c>
      <c r="F80" s="29" t="str">
        <f t="shared" ca="1" si="2"/>
        <v>pile</v>
      </c>
    </row>
    <row r="81" spans="5:6" x14ac:dyDescent="0.3">
      <c r="E81" s="29" t="str">
        <f t="shared" ca="1" si="2"/>
        <v>face</v>
      </c>
      <c r="F81" s="29" t="str">
        <f t="shared" ca="1" si="2"/>
        <v>pile</v>
      </c>
    </row>
    <row r="82" spans="5:6" x14ac:dyDescent="0.3">
      <c r="E82" s="29" t="str">
        <f t="shared" ca="1" si="2"/>
        <v>face</v>
      </c>
      <c r="F82" s="29" t="str">
        <f t="shared" ca="1" si="2"/>
        <v>pile</v>
      </c>
    </row>
    <row r="83" spans="5:6" x14ac:dyDescent="0.3">
      <c r="E83" s="29" t="str">
        <f t="shared" ca="1" si="2"/>
        <v>face</v>
      </c>
      <c r="F83" s="29" t="str">
        <f t="shared" ca="1" si="2"/>
        <v>face</v>
      </c>
    </row>
    <row r="84" spans="5:6" x14ac:dyDescent="0.3">
      <c r="E84" s="29" t="str">
        <f t="shared" ref="E84:F102" ca="1" si="3">IF(RAND() &lt;= 0.5, "pile", "face")</f>
        <v>face</v>
      </c>
      <c r="F84" s="29" t="str">
        <f t="shared" ca="1" si="3"/>
        <v>pile</v>
      </c>
    </row>
    <row r="85" spans="5:6" x14ac:dyDescent="0.3">
      <c r="E85" s="29" t="str">
        <f t="shared" ca="1" si="3"/>
        <v>pile</v>
      </c>
      <c r="F85" s="29" t="str">
        <f t="shared" ca="1" si="3"/>
        <v>face</v>
      </c>
    </row>
    <row r="86" spans="5:6" x14ac:dyDescent="0.3">
      <c r="E86" s="29" t="str">
        <f t="shared" ca="1" si="3"/>
        <v>pile</v>
      </c>
      <c r="F86" s="29" t="str">
        <f t="shared" ca="1" si="3"/>
        <v>face</v>
      </c>
    </row>
    <row r="87" spans="5:6" x14ac:dyDescent="0.3">
      <c r="E87" s="29" t="str">
        <f t="shared" ca="1" si="3"/>
        <v>face</v>
      </c>
      <c r="F87" s="29" t="str">
        <f t="shared" ca="1" si="3"/>
        <v>face</v>
      </c>
    </row>
    <row r="88" spans="5:6" x14ac:dyDescent="0.3">
      <c r="E88" s="29" t="str">
        <f t="shared" ca="1" si="3"/>
        <v>face</v>
      </c>
      <c r="F88" s="29" t="str">
        <f t="shared" ca="1" si="3"/>
        <v>pile</v>
      </c>
    </row>
    <row r="89" spans="5:6" x14ac:dyDescent="0.3">
      <c r="E89" s="29" t="str">
        <f t="shared" ca="1" si="3"/>
        <v>face</v>
      </c>
      <c r="F89" s="29" t="str">
        <f t="shared" ca="1" si="3"/>
        <v>face</v>
      </c>
    </row>
    <row r="90" spans="5:6" x14ac:dyDescent="0.3">
      <c r="E90" s="29" t="str">
        <f t="shared" ca="1" si="3"/>
        <v>face</v>
      </c>
      <c r="F90" s="29" t="str">
        <f t="shared" ca="1" si="3"/>
        <v>face</v>
      </c>
    </row>
    <row r="91" spans="5:6" x14ac:dyDescent="0.3">
      <c r="E91" s="29" t="str">
        <f t="shared" ca="1" si="3"/>
        <v>face</v>
      </c>
      <c r="F91" s="29" t="str">
        <f t="shared" ca="1" si="3"/>
        <v>pile</v>
      </c>
    </row>
    <row r="92" spans="5:6" x14ac:dyDescent="0.3">
      <c r="E92" s="29" t="str">
        <f t="shared" ca="1" si="3"/>
        <v>face</v>
      </c>
      <c r="F92" s="29" t="str">
        <f t="shared" ca="1" si="3"/>
        <v>pile</v>
      </c>
    </row>
    <row r="93" spans="5:6" x14ac:dyDescent="0.3">
      <c r="E93" s="29" t="str">
        <f t="shared" ca="1" si="3"/>
        <v>pile</v>
      </c>
      <c r="F93" s="29" t="str">
        <f t="shared" ca="1" si="3"/>
        <v>pile</v>
      </c>
    </row>
    <row r="94" spans="5:6" x14ac:dyDescent="0.3">
      <c r="E94" s="29" t="str">
        <f t="shared" ca="1" si="3"/>
        <v>face</v>
      </c>
      <c r="F94" s="29" t="str">
        <f t="shared" ca="1" si="3"/>
        <v>pile</v>
      </c>
    </row>
    <row r="95" spans="5:6" x14ac:dyDescent="0.3">
      <c r="E95" s="29" t="str">
        <f t="shared" ca="1" si="3"/>
        <v>pile</v>
      </c>
      <c r="F95" s="29" t="str">
        <f t="shared" ca="1" si="3"/>
        <v>pile</v>
      </c>
    </row>
    <row r="96" spans="5:6" x14ac:dyDescent="0.3">
      <c r="E96" s="29" t="str">
        <f t="shared" ca="1" si="3"/>
        <v>pile</v>
      </c>
      <c r="F96" s="29" t="str">
        <f t="shared" ca="1" si="3"/>
        <v>pile</v>
      </c>
    </row>
    <row r="97" spans="5:6" x14ac:dyDescent="0.3">
      <c r="E97" s="29" t="str">
        <f t="shared" ca="1" si="3"/>
        <v>pile</v>
      </c>
      <c r="F97" s="29" t="str">
        <f t="shared" ca="1" si="3"/>
        <v>face</v>
      </c>
    </row>
    <row r="98" spans="5:6" x14ac:dyDescent="0.3">
      <c r="E98" s="29" t="str">
        <f t="shared" ca="1" si="3"/>
        <v>pile</v>
      </c>
      <c r="F98" s="29" t="str">
        <f t="shared" ca="1" si="3"/>
        <v>face</v>
      </c>
    </row>
    <row r="99" spans="5:6" x14ac:dyDescent="0.3">
      <c r="E99" s="29" t="str">
        <f t="shared" ca="1" si="3"/>
        <v>pile</v>
      </c>
      <c r="F99" s="29" t="str">
        <f t="shared" ca="1" si="3"/>
        <v>face</v>
      </c>
    </row>
    <row r="100" spans="5:6" x14ac:dyDescent="0.3">
      <c r="E100" s="29" t="str">
        <f t="shared" ca="1" si="3"/>
        <v>pile</v>
      </c>
      <c r="F100" s="29" t="str">
        <f t="shared" ca="1" si="3"/>
        <v>face</v>
      </c>
    </row>
    <row r="101" spans="5:6" x14ac:dyDescent="0.3">
      <c r="E101" s="29" t="str">
        <f t="shared" ca="1" si="3"/>
        <v>face</v>
      </c>
      <c r="F101" s="29" t="str">
        <f t="shared" ca="1" si="3"/>
        <v>face</v>
      </c>
    </row>
    <row r="102" spans="5:6" ht="15" thickBot="1" x14ac:dyDescent="0.35">
      <c r="E102" s="30" t="str">
        <f t="shared" ca="1" si="3"/>
        <v>pile</v>
      </c>
      <c r="F102" s="29" t="str">
        <f t="shared" ca="1" si="3"/>
        <v>face</v>
      </c>
    </row>
    <row r="103" spans="5:6" x14ac:dyDescent="0.3">
      <c r="F103" s="29" t="str">
        <f t="shared" ref="F103:F166" ca="1" si="4">IF(RAND() &lt;= 0.5, "pile", "face")</f>
        <v>face</v>
      </c>
    </row>
    <row r="104" spans="5:6" x14ac:dyDescent="0.3">
      <c r="F104" s="29" t="str">
        <f t="shared" ca="1" si="4"/>
        <v>face</v>
      </c>
    </row>
    <row r="105" spans="5:6" x14ac:dyDescent="0.3">
      <c r="F105" s="29" t="str">
        <f t="shared" ca="1" si="4"/>
        <v>pile</v>
      </c>
    </row>
    <row r="106" spans="5:6" x14ac:dyDescent="0.3">
      <c r="F106" s="29" t="str">
        <f t="shared" ca="1" si="4"/>
        <v>pile</v>
      </c>
    </row>
    <row r="107" spans="5:6" x14ac:dyDescent="0.3">
      <c r="F107" s="29" t="str">
        <f t="shared" ca="1" si="4"/>
        <v>face</v>
      </c>
    </row>
    <row r="108" spans="5:6" x14ac:dyDescent="0.3">
      <c r="F108" s="29" t="str">
        <f t="shared" ca="1" si="4"/>
        <v>pile</v>
      </c>
    </row>
    <row r="109" spans="5:6" x14ac:dyDescent="0.3">
      <c r="F109" s="29" t="str">
        <f t="shared" ca="1" si="4"/>
        <v>pile</v>
      </c>
    </row>
    <row r="110" spans="5:6" x14ac:dyDescent="0.3">
      <c r="F110" s="29" t="str">
        <f t="shared" ca="1" si="4"/>
        <v>pile</v>
      </c>
    </row>
    <row r="111" spans="5:6" x14ac:dyDescent="0.3">
      <c r="F111" s="29" t="str">
        <f t="shared" ca="1" si="4"/>
        <v>face</v>
      </c>
    </row>
    <row r="112" spans="5:6" x14ac:dyDescent="0.3">
      <c r="F112" s="29" t="str">
        <f t="shared" ca="1" si="4"/>
        <v>pile</v>
      </c>
    </row>
    <row r="113" spans="6:6" x14ac:dyDescent="0.3">
      <c r="F113" s="29" t="str">
        <f t="shared" ca="1" si="4"/>
        <v>face</v>
      </c>
    </row>
    <row r="114" spans="6:6" x14ac:dyDescent="0.3">
      <c r="F114" s="29" t="str">
        <f t="shared" ca="1" si="4"/>
        <v>pile</v>
      </c>
    </row>
    <row r="115" spans="6:6" x14ac:dyDescent="0.3">
      <c r="F115" s="29" t="str">
        <f t="shared" ca="1" si="4"/>
        <v>face</v>
      </c>
    </row>
    <row r="116" spans="6:6" x14ac:dyDescent="0.3">
      <c r="F116" s="29" t="str">
        <f t="shared" ca="1" si="4"/>
        <v>pile</v>
      </c>
    </row>
    <row r="117" spans="6:6" x14ac:dyDescent="0.3">
      <c r="F117" s="29" t="str">
        <f t="shared" ca="1" si="4"/>
        <v>face</v>
      </c>
    </row>
    <row r="118" spans="6:6" x14ac:dyDescent="0.3">
      <c r="F118" s="29" t="str">
        <f t="shared" ca="1" si="4"/>
        <v>face</v>
      </c>
    </row>
    <row r="119" spans="6:6" x14ac:dyDescent="0.3">
      <c r="F119" s="29" t="str">
        <f t="shared" ca="1" si="4"/>
        <v>pile</v>
      </c>
    </row>
    <row r="120" spans="6:6" x14ac:dyDescent="0.3">
      <c r="F120" s="29" t="str">
        <f t="shared" ca="1" si="4"/>
        <v>pile</v>
      </c>
    </row>
    <row r="121" spans="6:6" x14ac:dyDescent="0.3">
      <c r="F121" s="29" t="str">
        <f t="shared" ca="1" si="4"/>
        <v>face</v>
      </c>
    </row>
    <row r="122" spans="6:6" x14ac:dyDescent="0.3">
      <c r="F122" s="29" t="str">
        <f t="shared" ca="1" si="4"/>
        <v>pile</v>
      </c>
    </row>
    <row r="123" spans="6:6" x14ac:dyDescent="0.3">
      <c r="F123" s="29" t="str">
        <f t="shared" ca="1" si="4"/>
        <v>face</v>
      </c>
    </row>
    <row r="124" spans="6:6" x14ac:dyDescent="0.3">
      <c r="F124" s="29" t="str">
        <f t="shared" ca="1" si="4"/>
        <v>pile</v>
      </c>
    </row>
    <row r="125" spans="6:6" x14ac:dyDescent="0.3">
      <c r="F125" s="29" t="str">
        <f t="shared" ca="1" si="4"/>
        <v>pile</v>
      </c>
    </row>
    <row r="126" spans="6:6" x14ac:dyDescent="0.3">
      <c r="F126" s="29" t="str">
        <f t="shared" ca="1" si="4"/>
        <v>face</v>
      </c>
    </row>
    <row r="127" spans="6:6" x14ac:dyDescent="0.3">
      <c r="F127" s="29" t="str">
        <f t="shared" ca="1" si="4"/>
        <v>pile</v>
      </c>
    </row>
    <row r="128" spans="6:6" x14ac:dyDescent="0.3">
      <c r="F128" s="29" t="str">
        <f t="shared" ca="1" si="4"/>
        <v>face</v>
      </c>
    </row>
    <row r="129" spans="6:6" x14ac:dyDescent="0.3">
      <c r="F129" s="29" t="str">
        <f t="shared" ca="1" si="4"/>
        <v>pile</v>
      </c>
    </row>
    <row r="130" spans="6:6" x14ac:dyDescent="0.3">
      <c r="F130" s="29" t="str">
        <f t="shared" ca="1" si="4"/>
        <v>pile</v>
      </c>
    </row>
    <row r="131" spans="6:6" x14ac:dyDescent="0.3">
      <c r="F131" s="29" t="str">
        <f t="shared" ca="1" si="4"/>
        <v>face</v>
      </c>
    </row>
    <row r="132" spans="6:6" x14ac:dyDescent="0.3">
      <c r="F132" s="29" t="str">
        <f t="shared" ca="1" si="4"/>
        <v>face</v>
      </c>
    </row>
    <row r="133" spans="6:6" x14ac:dyDescent="0.3">
      <c r="F133" s="29" t="str">
        <f t="shared" ca="1" si="4"/>
        <v>pile</v>
      </c>
    </row>
    <row r="134" spans="6:6" x14ac:dyDescent="0.3">
      <c r="F134" s="29" t="str">
        <f t="shared" ca="1" si="4"/>
        <v>face</v>
      </c>
    </row>
    <row r="135" spans="6:6" x14ac:dyDescent="0.3">
      <c r="F135" s="29" t="str">
        <f t="shared" ca="1" si="4"/>
        <v>face</v>
      </c>
    </row>
    <row r="136" spans="6:6" x14ac:dyDescent="0.3">
      <c r="F136" s="29" t="str">
        <f t="shared" ca="1" si="4"/>
        <v>pile</v>
      </c>
    </row>
    <row r="137" spans="6:6" x14ac:dyDescent="0.3">
      <c r="F137" s="29" t="str">
        <f t="shared" ca="1" si="4"/>
        <v>pile</v>
      </c>
    </row>
    <row r="138" spans="6:6" x14ac:dyDescent="0.3">
      <c r="F138" s="29" t="str">
        <f t="shared" ca="1" si="4"/>
        <v>pile</v>
      </c>
    </row>
    <row r="139" spans="6:6" x14ac:dyDescent="0.3">
      <c r="F139" s="29" t="str">
        <f t="shared" ca="1" si="4"/>
        <v>pile</v>
      </c>
    </row>
    <row r="140" spans="6:6" x14ac:dyDescent="0.3">
      <c r="F140" s="29" t="str">
        <f t="shared" ca="1" si="4"/>
        <v>face</v>
      </c>
    </row>
    <row r="141" spans="6:6" x14ac:dyDescent="0.3">
      <c r="F141" s="29" t="str">
        <f t="shared" ca="1" si="4"/>
        <v>pile</v>
      </c>
    </row>
    <row r="142" spans="6:6" x14ac:dyDescent="0.3">
      <c r="F142" s="29" t="str">
        <f t="shared" ca="1" si="4"/>
        <v>face</v>
      </c>
    </row>
    <row r="143" spans="6:6" x14ac:dyDescent="0.3">
      <c r="F143" s="29" t="str">
        <f t="shared" ca="1" si="4"/>
        <v>pile</v>
      </c>
    </row>
    <row r="144" spans="6:6" x14ac:dyDescent="0.3">
      <c r="F144" s="29" t="str">
        <f t="shared" ca="1" si="4"/>
        <v>face</v>
      </c>
    </row>
    <row r="145" spans="6:6" x14ac:dyDescent="0.3">
      <c r="F145" s="29" t="str">
        <f t="shared" ca="1" si="4"/>
        <v>pile</v>
      </c>
    </row>
    <row r="146" spans="6:6" x14ac:dyDescent="0.3">
      <c r="F146" s="29" t="str">
        <f t="shared" ca="1" si="4"/>
        <v>pile</v>
      </c>
    </row>
    <row r="147" spans="6:6" x14ac:dyDescent="0.3">
      <c r="F147" s="29" t="str">
        <f t="shared" ca="1" si="4"/>
        <v>pile</v>
      </c>
    </row>
    <row r="148" spans="6:6" x14ac:dyDescent="0.3">
      <c r="F148" s="29" t="str">
        <f t="shared" ca="1" si="4"/>
        <v>face</v>
      </c>
    </row>
    <row r="149" spans="6:6" x14ac:dyDescent="0.3">
      <c r="F149" s="29" t="str">
        <f t="shared" ca="1" si="4"/>
        <v>face</v>
      </c>
    </row>
    <row r="150" spans="6:6" x14ac:dyDescent="0.3">
      <c r="F150" s="29" t="str">
        <f t="shared" ca="1" si="4"/>
        <v>pile</v>
      </c>
    </row>
    <row r="151" spans="6:6" x14ac:dyDescent="0.3">
      <c r="F151" s="29" t="str">
        <f t="shared" ca="1" si="4"/>
        <v>pile</v>
      </c>
    </row>
    <row r="152" spans="6:6" x14ac:dyDescent="0.3">
      <c r="F152" s="29" t="str">
        <f t="shared" ca="1" si="4"/>
        <v>face</v>
      </c>
    </row>
    <row r="153" spans="6:6" x14ac:dyDescent="0.3">
      <c r="F153" s="29" t="str">
        <f t="shared" ca="1" si="4"/>
        <v>pile</v>
      </c>
    </row>
    <row r="154" spans="6:6" x14ac:dyDescent="0.3">
      <c r="F154" s="29" t="str">
        <f t="shared" ca="1" si="4"/>
        <v>face</v>
      </c>
    </row>
    <row r="155" spans="6:6" x14ac:dyDescent="0.3">
      <c r="F155" s="29" t="str">
        <f t="shared" ca="1" si="4"/>
        <v>pile</v>
      </c>
    </row>
    <row r="156" spans="6:6" x14ac:dyDescent="0.3">
      <c r="F156" s="29" t="str">
        <f t="shared" ca="1" si="4"/>
        <v>face</v>
      </c>
    </row>
    <row r="157" spans="6:6" x14ac:dyDescent="0.3">
      <c r="F157" s="29" t="str">
        <f t="shared" ca="1" si="4"/>
        <v>pile</v>
      </c>
    </row>
    <row r="158" spans="6:6" x14ac:dyDescent="0.3">
      <c r="F158" s="29" t="str">
        <f t="shared" ca="1" si="4"/>
        <v>face</v>
      </c>
    </row>
    <row r="159" spans="6:6" x14ac:dyDescent="0.3">
      <c r="F159" s="29" t="str">
        <f t="shared" ca="1" si="4"/>
        <v>pile</v>
      </c>
    </row>
    <row r="160" spans="6:6" x14ac:dyDescent="0.3">
      <c r="F160" s="29" t="str">
        <f t="shared" ca="1" si="4"/>
        <v>pile</v>
      </c>
    </row>
    <row r="161" spans="6:6" x14ac:dyDescent="0.3">
      <c r="F161" s="29" t="str">
        <f t="shared" ca="1" si="4"/>
        <v>pile</v>
      </c>
    </row>
    <row r="162" spans="6:6" x14ac:dyDescent="0.3">
      <c r="F162" s="29" t="str">
        <f t="shared" ca="1" si="4"/>
        <v>pile</v>
      </c>
    </row>
    <row r="163" spans="6:6" x14ac:dyDescent="0.3">
      <c r="F163" s="29" t="str">
        <f t="shared" ca="1" si="4"/>
        <v>pile</v>
      </c>
    </row>
    <row r="164" spans="6:6" x14ac:dyDescent="0.3">
      <c r="F164" s="29" t="str">
        <f t="shared" ca="1" si="4"/>
        <v>face</v>
      </c>
    </row>
    <row r="165" spans="6:6" x14ac:dyDescent="0.3">
      <c r="F165" s="29" t="str">
        <f t="shared" ca="1" si="4"/>
        <v>face</v>
      </c>
    </row>
    <row r="166" spans="6:6" x14ac:dyDescent="0.3">
      <c r="F166" s="29" t="str">
        <f t="shared" ca="1" si="4"/>
        <v>pile</v>
      </c>
    </row>
    <row r="167" spans="6:6" x14ac:dyDescent="0.3">
      <c r="F167" s="29" t="str">
        <f t="shared" ref="F167:F230" ca="1" si="5">IF(RAND() &lt;= 0.5, "pile", "face")</f>
        <v>face</v>
      </c>
    </row>
    <row r="168" spans="6:6" x14ac:dyDescent="0.3">
      <c r="F168" s="29" t="str">
        <f t="shared" ca="1" si="5"/>
        <v>face</v>
      </c>
    </row>
    <row r="169" spans="6:6" x14ac:dyDescent="0.3">
      <c r="F169" s="29" t="str">
        <f t="shared" ca="1" si="5"/>
        <v>face</v>
      </c>
    </row>
    <row r="170" spans="6:6" x14ac:dyDescent="0.3">
      <c r="F170" s="29" t="str">
        <f t="shared" ca="1" si="5"/>
        <v>face</v>
      </c>
    </row>
    <row r="171" spans="6:6" x14ac:dyDescent="0.3">
      <c r="F171" s="29" t="str">
        <f t="shared" ca="1" si="5"/>
        <v>pile</v>
      </c>
    </row>
    <row r="172" spans="6:6" x14ac:dyDescent="0.3">
      <c r="F172" s="29" t="str">
        <f t="shared" ca="1" si="5"/>
        <v>face</v>
      </c>
    </row>
    <row r="173" spans="6:6" x14ac:dyDescent="0.3">
      <c r="F173" s="29" t="str">
        <f t="shared" ca="1" si="5"/>
        <v>pile</v>
      </c>
    </row>
    <row r="174" spans="6:6" x14ac:dyDescent="0.3">
      <c r="F174" s="29" t="str">
        <f t="shared" ca="1" si="5"/>
        <v>pile</v>
      </c>
    </row>
    <row r="175" spans="6:6" x14ac:dyDescent="0.3">
      <c r="F175" s="29" t="str">
        <f t="shared" ca="1" si="5"/>
        <v>pile</v>
      </c>
    </row>
    <row r="176" spans="6:6" x14ac:dyDescent="0.3">
      <c r="F176" s="29" t="str">
        <f t="shared" ca="1" si="5"/>
        <v>face</v>
      </c>
    </row>
    <row r="177" spans="6:6" x14ac:dyDescent="0.3">
      <c r="F177" s="29" t="str">
        <f t="shared" ca="1" si="5"/>
        <v>face</v>
      </c>
    </row>
    <row r="178" spans="6:6" x14ac:dyDescent="0.3">
      <c r="F178" s="29" t="str">
        <f t="shared" ca="1" si="5"/>
        <v>pile</v>
      </c>
    </row>
    <row r="179" spans="6:6" x14ac:dyDescent="0.3">
      <c r="F179" s="29" t="str">
        <f t="shared" ca="1" si="5"/>
        <v>pile</v>
      </c>
    </row>
    <row r="180" spans="6:6" x14ac:dyDescent="0.3">
      <c r="F180" s="29" t="str">
        <f t="shared" ca="1" si="5"/>
        <v>face</v>
      </c>
    </row>
    <row r="181" spans="6:6" x14ac:dyDescent="0.3">
      <c r="F181" s="29" t="str">
        <f t="shared" ca="1" si="5"/>
        <v>pile</v>
      </c>
    </row>
    <row r="182" spans="6:6" x14ac:dyDescent="0.3">
      <c r="F182" s="29" t="str">
        <f t="shared" ca="1" si="5"/>
        <v>face</v>
      </c>
    </row>
    <row r="183" spans="6:6" x14ac:dyDescent="0.3">
      <c r="F183" s="29" t="str">
        <f t="shared" ca="1" si="5"/>
        <v>pile</v>
      </c>
    </row>
    <row r="184" spans="6:6" x14ac:dyDescent="0.3">
      <c r="F184" s="29" t="str">
        <f t="shared" ca="1" si="5"/>
        <v>face</v>
      </c>
    </row>
    <row r="185" spans="6:6" x14ac:dyDescent="0.3">
      <c r="F185" s="29" t="str">
        <f t="shared" ca="1" si="5"/>
        <v>face</v>
      </c>
    </row>
    <row r="186" spans="6:6" x14ac:dyDescent="0.3">
      <c r="F186" s="29" t="str">
        <f t="shared" ca="1" si="5"/>
        <v>face</v>
      </c>
    </row>
    <row r="187" spans="6:6" x14ac:dyDescent="0.3">
      <c r="F187" s="29" t="str">
        <f t="shared" ca="1" si="5"/>
        <v>pile</v>
      </c>
    </row>
    <row r="188" spans="6:6" x14ac:dyDescent="0.3">
      <c r="F188" s="29" t="str">
        <f t="shared" ca="1" si="5"/>
        <v>pile</v>
      </c>
    </row>
    <row r="189" spans="6:6" x14ac:dyDescent="0.3">
      <c r="F189" s="29" t="str">
        <f t="shared" ca="1" si="5"/>
        <v>pile</v>
      </c>
    </row>
    <row r="190" spans="6:6" x14ac:dyDescent="0.3">
      <c r="F190" s="29" t="str">
        <f t="shared" ca="1" si="5"/>
        <v>pile</v>
      </c>
    </row>
    <row r="191" spans="6:6" x14ac:dyDescent="0.3">
      <c r="F191" s="29" t="str">
        <f t="shared" ca="1" si="5"/>
        <v>face</v>
      </c>
    </row>
    <row r="192" spans="6:6" x14ac:dyDescent="0.3">
      <c r="F192" s="29" t="str">
        <f t="shared" ca="1" si="5"/>
        <v>pile</v>
      </c>
    </row>
    <row r="193" spans="6:6" x14ac:dyDescent="0.3">
      <c r="F193" s="29" t="str">
        <f t="shared" ca="1" si="5"/>
        <v>face</v>
      </c>
    </row>
    <row r="194" spans="6:6" x14ac:dyDescent="0.3">
      <c r="F194" s="29" t="str">
        <f t="shared" ca="1" si="5"/>
        <v>face</v>
      </c>
    </row>
    <row r="195" spans="6:6" x14ac:dyDescent="0.3">
      <c r="F195" s="29" t="str">
        <f t="shared" ca="1" si="5"/>
        <v>pile</v>
      </c>
    </row>
    <row r="196" spans="6:6" x14ac:dyDescent="0.3">
      <c r="F196" s="29" t="str">
        <f t="shared" ca="1" si="5"/>
        <v>face</v>
      </c>
    </row>
    <row r="197" spans="6:6" x14ac:dyDescent="0.3">
      <c r="F197" s="29" t="str">
        <f t="shared" ca="1" si="5"/>
        <v>face</v>
      </c>
    </row>
    <row r="198" spans="6:6" x14ac:dyDescent="0.3">
      <c r="F198" s="29" t="str">
        <f t="shared" ca="1" si="5"/>
        <v>pile</v>
      </c>
    </row>
    <row r="199" spans="6:6" x14ac:dyDescent="0.3">
      <c r="F199" s="29" t="str">
        <f t="shared" ca="1" si="5"/>
        <v>face</v>
      </c>
    </row>
    <row r="200" spans="6:6" x14ac:dyDescent="0.3">
      <c r="F200" s="29" t="str">
        <f t="shared" ca="1" si="5"/>
        <v>pile</v>
      </c>
    </row>
    <row r="201" spans="6:6" x14ac:dyDescent="0.3">
      <c r="F201" s="29" t="str">
        <f t="shared" ca="1" si="5"/>
        <v>pile</v>
      </c>
    </row>
    <row r="202" spans="6:6" x14ac:dyDescent="0.3">
      <c r="F202" s="29" t="str">
        <f t="shared" ca="1" si="5"/>
        <v>pile</v>
      </c>
    </row>
    <row r="203" spans="6:6" x14ac:dyDescent="0.3">
      <c r="F203" s="29" t="str">
        <f t="shared" ca="1" si="5"/>
        <v>face</v>
      </c>
    </row>
    <row r="204" spans="6:6" x14ac:dyDescent="0.3">
      <c r="F204" s="29" t="str">
        <f t="shared" ca="1" si="5"/>
        <v>face</v>
      </c>
    </row>
    <row r="205" spans="6:6" x14ac:dyDescent="0.3">
      <c r="F205" s="29" t="str">
        <f t="shared" ca="1" si="5"/>
        <v>face</v>
      </c>
    </row>
    <row r="206" spans="6:6" x14ac:dyDescent="0.3">
      <c r="F206" s="29" t="str">
        <f t="shared" ca="1" si="5"/>
        <v>pile</v>
      </c>
    </row>
    <row r="207" spans="6:6" x14ac:dyDescent="0.3">
      <c r="F207" s="29" t="str">
        <f t="shared" ca="1" si="5"/>
        <v>pile</v>
      </c>
    </row>
    <row r="208" spans="6:6" x14ac:dyDescent="0.3">
      <c r="F208" s="29" t="str">
        <f t="shared" ca="1" si="5"/>
        <v>pile</v>
      </c>
    </row>
    <row r="209" spans="6:6" x14ac:dyDescent="0.3">
      <c r="F209" s="29" t="str">
        <f t="shared" ca="1" si="5"/>
        <v>pile</v>
      </c>
    </row>
    <row r="210" spans="6:6" x14ac:dyDescent="0.3">
      <c r="F210" s="29" t="str">
        <f t="shared" ca="1" si="5"/>
        <v>face</v>
      </c>
    </row>
    <row r="211" spans="6:6" x14ac:dyDescent="0.3">
      <c r="F211" s="29" t="str">
        <f t="shared" ca="1" si="5"/>
        <v>pile</v>
      </c>
    </row>
    <row r="212" spans="6:6" x14ac:dyDescent="0.3">
      <c r="F212" s="29" t="str">
        <f t="shared" ca="1" si="5"/>
        <v>face</v>
      </c>
    </row>
    <row r="213" spans="6:6" x14ac:dyDescent="0.3">
      <c r="F213" s="29" t="str">
        <f t="shared" ca="1" si="5"/>
        <v>face</v>
      </c>
    </row>
    <row r="214" spans="6:6" x14ac:dyDescent="0.3">
      <c r="F214" s="29" t="str">
        <f t="shared" ca="1" si="5"/>
        <v>pile</v>
      </c>
    </row>
    <row r="215" spans="6:6" x14ac:dyDescent="0.3">
      <c r="F215" s="29" t="str">
        <f t="shared" ca="1" si="5"/>
        <v>face</v>
      </c>
    </row>
    <row r="216" spans="6:6" x14ac:dyDescent="0.3">
      <c r="F216" s="29" t="str">
        <f t="shared" ca="1" si="5"/>
        <v>face</v>
      </c>
    </row>
    <row r="217" spans="6:6" x14ac:dyDescent="0.3">
      <c r="F217" s="29" t="str">
        <f t="shared" ca="1" si="5"/>
        <v>face</v>
      </c>
    </row>
    <row r="218" spans="6:6" x14ac:dyDescent="0.3">
      <c r="F218" s="29" t="str">
        <f t="shared" ca="1" si="5"/>
        <v>face</v>
      </c>
    </row>
    <row r="219" spans="6:6" x14ac:dyDescent="0.3">
      <c r="F219" s="29" t="str">
        <f t="shared" ca="1" si="5"/>
        <v>face</v>
      </c>
    </row>
    <row r="220" spans="6:6" x14ac:dyDescent="0.3">
      <c r="F220" s="29" t="str">
        <f t="shared" ca="1" si="5"/>
        <v>face</v>
      </c>
    </row>
    <row r="221" spans="6:6" x14ac:dyDescent="0.3">
      <c r="F221" s="29" t="str">
        <f t="shared" ca="1" si="5"/>
        <v>face</v>
      </c>
    </row>
    <row r="222" spans="6:6" x14ac:dyDescent="0.3">
      <c r="F222" s="29" t="str">
        <f t="shared" ca="1" si="5"/>
        <v>face</v>
      </c>
    </row>
    <row r="223" spans="6:6" x14ac:dyDescent="0.3">
      <c r="F223" s="29" t="str">
        <f t="shared" ca="1" si="5"/>
        <v>face</v>
      </c>
    </row>
    <row r="224" spans="6:6" x14ac:dyDescent="0.3">
      <c r="F224" s="29" t="str">
        <f t="shared" ca="1" si="5"/>
        <v>face</v>
      </c>
    </row>
    <row r="225" spans="6:6" x14ac:dyDescent="0.3">
      <c r="F225" s="29" t="str">
        <f t="shared" ca="1" si="5"/>
        <v>face</v>
      </c>
    </row>
    <row r="226" spans="6:6" x14ac:dyDescent="0.3">
      <c r="F226" s="29" t="str">
        <f t="shared" ca="1" si="5"/>
        <v>pile</v>
      </c>
    </row>
    <row r="227" spans="6:6" x14ac:dyDescent="0.3">
      <c r="F227" s="29" t="str">
        <f t="shared" ca="1" si="5"/>
        <v>pile</v>
      </c>
    </row>
    <row r="228" spans="6:6" x14ac:dyDescent="0.3">
      <c r="F228" s="29" t="str">
        <f t="shared" ca="1" si="5"/>
        <v>face</v>
      </c>
    </row>
    <row r="229" spans="6:6" x14ac:dyDescent="0.3">
      <c r="F229" s="29" t="str">
        <f t="shared" ca="1" si="5"/>
        <v>pile</v>
      </c>
    </row>
    <row r="230" spans="6:6" x14ac:dyDescent="0.3">
      <c r="F230" s="29" t="str">
        <f t="shared" ca="1" si="5"/>
        <v>face</v>
      </c>
    </row>
    <row r="231" spans="6:6" x14ac:dyDescent="0.3">
      <c r="F231" s="29" t="str">
        <f t="shared" ref="F231:F294" ca="1" si="6">IF(RAND() &lt;= 0.5, "pile", "face")</f>
        <v>face</v>
      </c>
    </row>
    <row r="232" spans="6:6" x14ac:dyDescent="0.3">
      <c r="F232" s="29" t="str">
        <f t="shared" ca="1" si="6"/>
        <v>pile</v>
      </c>
    </row>
    <row r="233" spans="6:6" x14ac:dyDescent="0.3">
      <c r="F233" s="29" t="str">
        <f t="shared" ca="1" si="6"/>
        <v>pile</v>
      </c>
    </row>
    <row r="234" spans="6:6" x14ac:dyDescent="0.3">
      <c r="F234" s="29" t="str">
        <f t="shared" ca="1" si="6"/>
        <v>face</v>
      </c>
    </row>
    <row r="235" spans="6:6" x14ac:dyDescent="0.3">
      <c r="F235" s="29" t="str">
        <f t="shared" ca="1" si="6"/>
        <v>face</v>
      </c>
    </row>
    <row r="236" spans="6:6" x14ac:dyDescent="0.3">
      <c r="F236" s="29" t="str">
        <f t="shared" ca="1" si="6"/>
        <v>face</v>
      </c>
    </row>
    <row r="237" spans="6:6" x14ac:dyDescent="0.3">
      <c r="F237" s="29" t="str">
        <f t="shared" ca="1" si="6"/>
        <v>face</v>
      </c>
    </row>
    <row r="238" spans="6:6" x14ac:dyDescent="0.3">
      <c r="F238" s="29" t="str">
        <f t="shared" ca="1" si="6"/>
        <v>pile</v>
      </c>
    </row>
    <row r="239" spans="6:6" x14ac:dyDescent="0.3">
      <c r="F239" s="29" t="str">
        <f t="shared" ca="1" si="6"/>
        <v>pile</v>
      </c>
    </row>
    <row r="240" spans="6:6" x14ac:dyDescent="0.3">
      <c r="F240" s="29" t="str">
        <f t="shared" ca="1" si="6"/>
        <v>pile</v>
      </c>
    </row>
    <row r="241" spans="6:6" x14ac:dyDescent="0.3">
      <c r="F241" s="29" t="str">
        <f t="shared" ca="1" si="6"/>
        <v>pile</v>
      </c>
    </row>
    <row r="242" spans="6:6" x14ac:dyDescent="0.3">
      <c r="F242" s="29" t="str">
        <f t="shared" ca="1" si="6"/>
        <v>pile</v>
      </c>
    </row>
    <row r="243" spans="6:6" x14ac:dyDescent="0.3">
      <c r="F243" s="29" t="str">
        <f t="shared" ca="1" si="6"/>
        <v>pile</v>
      </c>
    </row>
    <row r="244" spans="6:6" x14ac:dyDescent="0.3">
      <c r="F244" s="29" t="str">
        <f t="shared" ca="1" si="6"/>
        <v>pile</v>
      </c>
    </row>
    <row r="245" spans="6:6" x14ac:dyDescent="0.3">
      <c r="F245" s="29" t="str">
        <f t="shared" ca="1" si="6"/>
        <v>pile</v>
      </c>
    </row>
    <row r="246" spans="6:6" x14ac:dyDescent="0.3">
      <c r="F246" s="29" t="str">
        <f t="shared" ca="1" si="6"/>
        <v>pile</v>
      </c>
    </row>
    <row r="247" spans="6:6" x14ac:dyDescent="0.3">
      <c r="F247" s="29" t="str">
        <f t="shared" ca="1" si="6"/>
        <v>pile</v>
      </c>
    </row>
    <row r="248" spans="6:6" x14ac:dyDescent="0.3">
      <c r="F248" s="29" t="str">
        <f t="shared" ca="1" si="6"/>
        <v>face</v>
      </c>
    </row>
    <row r="249" spans="6:6" x14ac:dyDescent="0.3">
      <c r="F249" s="29" t="str">
        <f t="shared" ca="1" si="6"/>
        <v>face</v>
      </c>
    </row>
    <row r="250" spans="6:6" x14ac:dyDescent="0.3">
      <c r="F250" s="29" t="str">
        <f t="shared" ca="1" si="6"/>
        <v>pile</v>
      </c>
    </row>
    <row r="251" spans="6:6" x14ac:dyDescent="0.3">
      <c r="F251" s="29" t="str">
        <f t="shared" ca="1" si="6"/>
        <v>pile</v>
      </c>
    </row>
    <row r="252" spans="6:6" x14ac:dyDescent="0.3">
      <c r="F252" s="29" t="str">
        <f t="shared" ca="1" si="6"/>
        <v>pile</v>
      </c>
    </row>
    <row r="253" spans="6:6" x14ac:dyDescent="0.3">
      <c r="F253" s="29" t="str">
        <f t="shared" ca="1" si="6"/>
        <v>pile</v>
      </c>
    </row>
    <row r="254" spans="6:6" x14ac:dyDescent="0.3">
      <c r="F254" s="29" t="str">
        <f t="shared" ca="1" si="6"/>
        <v>face</v>
      </c>
    </row>
    <row r="255" spans="6:6" x14ac:dyDescent="0.3">
      <c r="F255" s="29" t="str">
        <f t="shared" ca="1" si="6"/>
        <v>pile</v>
      </c>
    </row>
    <row r="256" spans="6:6" x14ac:dyDescent="0.3">
      <c r="F256" s="29" t="str">
        <f t="shared" ca="1" si="6"/>
        <v>face</v>
      </c>
    </row>
    <row r="257" spans="6:6" x14ac:dyDescent="0.3">
      <c r="F257" s="29" t="str">
        <f t="shared" ca="1" si="6"/>
        <v>face</v>
      </c>
    </row>
    <row r="258" spans="6:6" x14ac:dyDescent="0.3">
      <c r="F258" s="29" t="str">
        <f t="shared" ca="1" si="6"/>
        <v>pile</v>
      </c>
    </row>
    <row r="259" spans="6:6" x14ac:dyDescent="0.3">
      <c r="F259" s="29" t="str">
        <f t="shared" ca="1" si="6"/>
        <v>pile</v>
      </c>
    </row>
    <row r="260" spans="6:6" x14ac:dyDescent="0.3">
      <c r="F260" s="29" t="str">
        <f t="shared" ca="1" si="6"/>
        <v>pile</v>
      </c>
    </row>
    <row r="261" spans="6:6" x14ac:dyDescent="0.3">
      <c r="F261" s="29" t="str">
        <f t="shared" ca="1" si="6"/>
        <v>face</v>
      </c>
    </row>
    <row r="262" spans="6:6" x14ac:dyDescent="0.3">
      <c r="F262" s="29" t="str">
        <f t="shared" ca="1" si="6"/>
        <v>face</v>
      </c>
    </row>
    <row r="263" spans="6:6" x14ac:dyDescent="0.3">
      <c r="F263" s="29" t="str">
        <f t="shared" ca="1" si="6"/>
        <v>pile</v>
      </c>
    </row>
    <row r="264" spans="6:6" x14ac:dyDescent="0.3">
      <c r="F264" s="29" t="str">
        <f t="shared" ca="1" si="6"/>
        <v>face</v>
      </c>
    </row>
    <row r="265" spans="6:6" x14ac:dyDescent="0.3">
      <c r="F265" s="29" t="str">
        <f t="shared" ca="1" si="6"/>
        <v>pile</v>
      </c>
    </row>
    <row r="266" spans="6:6" x14ac:dyDescent="0.3">
      <c r="F266" s="29" t="str">
        <f t="shared" ca="1" si="6"/>
        <v>pile</v>
      </c>
    </row>
    <row r="267" spans="6:6" x14ac:dyDescent="0.3">
      <c r="F267" s="29" t="str">
        <f t="shared" ca="1" si="6"/>
        <v>face</v>
      </c>
    </row>
    <row r="268" spans="6:6" x14ac:dyDescent="0.3">
      <c r="F268" s="29" t="str">
        <f t="shared" ca="1" si="6"/>
        <v>pile</v>
      </c>
    </row>
    <row r="269" spans="6:6" x14ac:dyDescent="0.3">
      <c r="F269" s="29" t="str">
        <f t="shared" ca="1" si="6"/>
        <v>pile</v>
      </c>
    </row>
    <row r="270" spans="6:6" x14ac:dyDescent="0.3">
      <c r="F270" s="29" t="str">
        <f t="shared" ca="1" si="6"/>
        <v>face</v>
      </c>
    </row>
    <row r="271" spans="6:6" x14ac:dyDescent="0.3">
      <c r="F271" s="29" t="str">
        <f t="shared" ca="1" si="6"/>
        <v>face</v>
      </c>
    </row>
    <row r="272" spans="6:6" x14ac:dyDescent="0.3">
      <c r="F272" s="29" t="str">
        <f t="shared" ca="1" si="6"/>
        <v>face</v>
      </c>
    </row>
    <row r="273" spans="6:6" x14ac:dyDescent="0.3">
      <c r="F273" s="29" t="str">
        <f t="shared" ca="1" si="6"/>
        <v>face</v>
      </c>
    </row>
    <row r="274" spans="6:6" x14ac:dyDescent="0.3">
      <c r="F274" s="29" t="str">
        <f t="shared" ca="1" si="6"/>
        <v>face</v>
      </c>
    </row>
    <row r="275" spans="6:6" x14ac:dyDescent="0.3">
      <c r="F275" s="29" t="str">
        <f t="shared" ca="1" si="6"/>
        <v>face</v>
      </c>
    </row>
    <row r="276" spans="6:6" x14ac:dyDescent="0.3">
      <c r="F276" s="29" t="str">
        <f t="shared" ca="1" si="6"/>
        <v>face</v>
      </c>
    </row>
    <row r="277" spans="6:6" x14ac:dyDescent="0.3">
      <c r="F277" s="29" t="str">
        <f t="shared" ca="1" si="6"/>
        <v>pile</v>
      </c>
    </row>
    <row r="278" spans="6:6" x14ac:dyDescent="0.3">
      <c r="F278" s="29" t="str">
        <f t="shared" ca="1" si="6"/>
        <v>face</v>
      </c>
    </row>
    <row r="279" spans="6:6" x14ac:dyDescent="0.3">
      <c r="F279" s="29" t="str">
        <f t="shared" ca="1" si="6"/>
        <v>pile</v>
      </c>
    </row>
    <row r="280" spans="6:6" x14ac:dyDescent="0.3">
      <c r="F280" s="29" t="str">
        <f t="shared" ca="1" si="6"/>
        <v>pile</v>
      </c>
    </row>
    <row r="281" spans="6:6" x14ac:dyDescent="0.3">
      <c r="F281" s="29" t="str">
        <f t="shared" ca="1" si="6"/>
        <v>face</v>
      </c>
    </row>
    <row r="282" spans="6:6" x14ac:dyDescent="0.3">
      <c r="F282" s="29" t="str">
        <f t="shared" ca="1" si="6"/>
        <v>face</v>
      </c>
    </row>
    <row r="283" spans="6:6" x14ac:dyDescent="0.3">
      <c r="F283" s="29" t="str">
        <f t="shared" ca="1" si="6"/>
        <v>face</v>
      </c>
    </row>
    <row r="284" spans="6:6" x14ac:dyDescent="0.3">
      <c r="F284" s="29" t="str">
        <f t="shared" ca="1" si="6"/>
        <v>pile</v>
      </c>
    </row>
    <row r="285" spans="6:6" x14ac:dyDescent="0.3">
      <c r="F285" s="29" t="str">
        <f t="shared" ca="1" si="6"/>
        <v>pile</v>
      </c>
    </row>
    <row r="286" spans="6:6" x14ac:dyDescent="0.3">
      <c r="F286" s="29" t="str">
        <f t="shared" ca="1" si="6"/>
        <v>face</v>
      </c>
    </row>
    <row r="287" spans="6:6" x14ac:dyDescent="0.3">
      <c r="F287" s="29" t="str">
        <f t="shared" ca="1" si="6"/>
        <v>face</v>
      </c>
    </row>
    <row r="288" spans="6:6" x14ac:dyDescent="0.3">
      <c r="F288" s="29" t="str">
        <f t="shared" ca="1" si="6"/>
        <v>pile</v>
      </c>
    </row>
    <row r="289" spans="6:6" x14ac:dyDescent="0.3">
      <c r="F289" s="29" t="str">
        <f t="shared" ca="1" si="6"/>
        <v>pile</v>
      </c>
    </row>
    <row r="290" spans="6:6" x14ac:dyDescent="0.3">
      <c r="F290" s="29" t="str">
        <f t="shared" ca="1" si="6"/>
        <v>pile</v>
      </c>
    </row>
    <row r="291" spans="6:6" x14ac:dyDescent="0.3">
      <c r="F291" s="29" t="str">
        <f t="shared" ca="1" si="6"/>
        <v>face</v>
      </c>
    </row>
    <row r="292" spans="6:6" x14ac:dyDescent="0.3">
      <c r="F292" s="29" t="str">
        <f t="shared" ca="1" si="6"/>
        <v>face</v>
      </c>
    </row>
    <row r="293" spans="6:6" x14ac:dyDescent="0.3">
      <c r="F293" s="29" t="str">
        <f t="shared" ca="1" si="6"/>
        <v>face</v>
      </c>
    </row>
    <row r="294" spans="6:6" x14ac:dyDescent="0.3">
      <c r="F294" s="29" t="str">
        <f t="shared" ca="1" si="6"/>
        <v>pile</v>
      </c>
    </row>
    <row r="295" spans="6:6" x14ac:dyDescent="0.3">
      <c r="F295" s="29" t="str">
        <f t="shared" ref="F295:F358" ca="1" si="7">IF(RAND() &lt;= 0.5, "pile", "face")</f>
        <v>pile</v>
      </c>
    </row>
    <row r="296" spans="6:6" x14ac:dyDescent="0.3">
      <c r="F296" s="29" t="str">
        <f t="shared" ca="1" si="7"/>
        <v>pile</v>
      </c>
    </row>
    <row r="297" spans="6:6" x14ac:dyDescent="0.3">
      <c r="F297" s="29" t="str">
        <f t="shared" ca="1" si="7"/>
        <v>face</v>
      </c>
    </row>
    <row r="298" spans="6:6" x14ac:dyDescent="0.3">
      <c r="F298" s="29" t="str">
        <f t="shared" ca="1" si="7"/>
        <v>face</v>
      </c>
    </row>
    <row r="299" spans="6:6" x14ac:dyDescent="0.3">
      <c r="F299" s="29" t="str">
        <f t="shared" ca="1" si="7"/>
        <v>face</v>
      </c>
    </row>
    <row r="300" spans="6:6" x14ac:dyDescent="0.3">
      <c r="F300" s="29" t="str">
        <f t="shared" ca="1" si="7"/>
        <v>face</v>
      </c>
    </row>
    <row r="301" spans="6:6" x14ac:dyDescent="0.3">
      <c r="F301" s="29" t="str">
        <f t="shared" ca="1" si="7"/>
        <v>pile</v>
      </c>
    </row>
    <row r="302" spans="6:6" x14ac:dyDescent="0.3">
      <c r="F302" s="29" t="str">
        <f t="shared" ca="1" si="7"/>
        <v>pile</v>
      </c>
    </row>
    <row r="303" spans="6:6" x14ac:dyDescent="0.3">
      <c r="F303" s="29" t="str">
        <f t="shared" ca="1" si="7"/>
        <v>face</v>
      </c>
    </row>
    <row r="304" spans="6:6" x14ac:dyDescent="0.3">
      <c r="F304" s="29" t="str">
        <f t="shared" ca="1" si="7"/>
        <v>pile</v>
      </c>
    </row>
    <row r="305" spans="6:6" x14ac:dyDescent="0.3">
      <c r="F305" s="29" t="str">
        <f t="shared" ca="1" si="7"/>
        <v>face</v>
      </c>
    </row>
    <row r="306" spans="6:6" x14ac:dyDescent="0.3">
      <c r="F306" s="29" t="str">
        <f t="shared" ca="1" si="7"/>
        <v>face</v>
      </c>
    </row>
    <row r="307" spans="6:6" x14ac:dyDescent="0.3">
      <c r="F307" s="29" t="str">
        <f t="shared" ca="1" si="7"/>
        <v>face</v>
      </c>
    </row>
    <row r="308" spans="6:6" x14ac:dyDescent="0.3">
      <c r="F308" s="29" t="str">
        <f t="shared" ca="1" si="7"/>
        <v>face</v>
      </c>
    </row>
    <row r="309" spans="6:6" x14ac:dyDescent="0.3">
      <c r="F309" s="29" t="str">
        <f t="shared" ca="1" si="7"/>
        <v>pile</v>
      </c>
    </row>
    <row r="310" spans="6:6" x14ac:dyDescent="0.3">
      <c r="F310" s="29" t="str">
        <f t="shared" ca="1" si="7"/>
        <v>pile</v>
      </c>
    </row>
    <row r="311" spans="6:6" x14ac:dyDescent="0.3">
      <c r="F311" s="29" t="str">
        <f t="shared" ca="1" si="7"/>
        <v>face</v>
      </c>
    </row>
    <row r="312" spans="6:6" x14ac:dyDescent="0.3">
      <c r="F312" s="29" t="str">
        <f t="shared" ca="1" si="7"/>
        <v>pile</v>
      </c>
    </row>
    <row r="313" spans="6:6" x14ac:dyDescent="0.3">
      <c r="F313" s="29" t="str">
        <f t="shared" ca="1" si="7"/>
        <v>face</v>
      </c>
    </row>
    <row r="314" spans="6:6" x14ac:dyDescent="0.3">
      <c r="F314" s="29" t="str">
        <f t="shared" ca="1" si="7"/>
        <v>face</v>
      </c>
    </row>
    <row r="315" spans="6:6" x14ac:dyDescent="0.3">
      <c r="F315" s="29" t="str">
        <f t="shared" ca="1" si="7"/>
        <v>pile</v>
      </c>
    </row>
    <row r="316" spans="6:6" x14ac:dyDescent="0.3">
      <c r="F316" s="29" t="str">
        <f t="shared" ca="1" si="7"/>
        <v>face</v>
      </c>
    </row>
    <row r="317" spans="6:6" x14ac:dyDescent="0.3">
      <c r="F317" s="29" t="str">
        <f t="shared" ca="1" si="7"/>
        <v>pile</v>
      </c>
    </row>
    <row r="318" spans="6:6" x14ac:dyDescent="0.3">
      <c r="F318" s="29" t="str">
        <f t="shared" ca="1" si="7"/>
        <v>face</v>
      </c>
    </row>
    <row r="319" spans="6:6" x14ac:dyDescent="0.3">
      <c r="F319" s="29" t="str">
        <f t="shared" ca="1" si="7"/>
        <v>pile</v>
      </c>
    </row>
    <row r="320" spans="6:6" x14ac:dyDescent="0.3">
      <c r="F320" s="29" t="str">
        <f t="shared" ca="1" si="7"/>
        <v>face</v>
      </c>
    </row>
    <row r="321" spans="6:6" x14ac:dyDescent="0.3">
      <c r="F321" s="29" t="str">
        <f t="shared" ca="1" si="7"/>
        <v>pile</v>
      </c>
    </row>
    <row r="322" spans="6:6" x14ac:dyDescent="0.3">
      <c r="F322" s="29" t="str">
        <f t="shared" ca="1" si="7"/>
        <v>face</v>
      </c>
    </row>
    <row r="323" spans="6:6" x14ac:dyDescent="0.3">
      <c r="F323" s="29" t="str">
        <f t="shared" ca="1" si="7"/>
        <v>face</v>
      </c>
    </row>
    <row r="324" spans="6:6" x14ac:dyDescent="0.3">
      <c r="F324" s="29" t="str">
        <f t="shared" ca="1" si="7"/>
        <v>pile</v>
      </c>
    </row>
    <row r="325" spans="6:6" x14ac:dyDescent="0.3">
      <c r="F325" s="29" t="str">
        <f t="shared" ca="1" si="7"/>
        <v>pile</v>
      </c>
    </row>
    <row r="326" spans="6:6" x14ac:dyDescent="0.3">
      <c r="F326" s="29" t="str">
        <f t="shared" ca="1" si="7"/>
        <v>pile</v>
      </c>
    </row>
    <row r="327" spans="6:6" x14ac:dyDescent="0.3">
      <c r="F327" s="29" t="str">
        <f t="shared" ca="1" si="7"/>
        <v>pile</v>
      </c>
    </row>
    <row r="328" spans="6:6" x14ac:dyDescent="0.3">
      <c r="F328" s="29" t="str">
        <f t="shared" ca="1" si="7"/>
        <v>face</v>
      </c>
    </row>
    <row r="329" spans="6:6" x14ac:dyDescent="0.3">
      <c r="F329" s="29" t="str">
        <f t="shared" ca="1" si="7"/>
        <v>pile</v>
      </c>
    </row>
    <row r="330" spans="6:6" x14ac:dyDescent="0.3">
      <c r="F330" s="29" t="str">
        <f t="shared" ca="1" si="7"/>
        <v>face</v>
      </c>
    </row>
    <row r="331" spans="6:6" x14ac:dyDescent="0.3">
      <c r="F331" s="29" t="str">
        <f t="shared" ca="1" si="7"/>
        <v>pile</v>
      </c>
    </row>
    <row r="332" spans="6:6" x14ac:dyDescent="0.3">
      <c r="F332" s="29" t="str">
        <f t="shared" ca="1" si="7"/>
        <v>face</v>
      </c>
    </row>
    <row r="333" spans="6:6" x14ac:dyDescent="0.3">
      <c r="F333" s="29" t="str">
        <f t="shared" ca="1" si="7"/>
        <v>face</v>
      </c>
    </row>
    <row r="334" spans="6:6" x14ac:dyDescent="0.3">
      <c r="F334" s="29" t="str">
        <f t="shared" ca="1" si="7"/>
        <v>pile</v>
      </c>
    </row>
    <row r="335" spans="6:6" x14ac:dyDescent="0.3">
      <c r="F335" s="29" t="str">
        <f t="shared" ca="1" si="7"/>
        <v>pile</v>
      </c>
    </row>
    <row r="336" spans="6:6" x14ac:dyDescent="0.3">
      <c r="F336" s="29" t="str">
        <f t="shared" ca="1" si="7"/>
        <v>pile</v>
      </c>
    </row>
    <row r="337" spans="6:6" x14ac:dyDescent="0.3">
      <c r="F337" s="29" t="str">
        <f t="shared" ca="1" si="7"/>
        <v>pile</v>
      </c>
    </row>
    <row r="338" spans="6:6" x14ac:dyDescent="0.3">
      <c r="F338" s="29" t="str">
        <f t="shared" ca="1" si="7"/>
        <v>pile</v>
      </c>
    </row>
    <row r="339" spans="6:6" x14ac:dyDescent="0.3">
      <c r="F339" s="29" t="str">
        <f t="shared" ca="1" si="7"/>
        <v>pile</v>
      </c>
    </row>
    <row r="340" spans="6:6" x14ac:dyDescent="0.3">
      <c r="F340" s="29" t="str">
        <f t="shared" ca="1" si="7"/>
        <v>pile</v>
      </c>
    </row>
    <row r="341" spans="6:6" x14ac:dyDescent="0.3">
      <c r="F341" s="29" t="str">
        <f t="shared" ca="1" si="7"/>
        <v>face</v>
      </c>
    </row>
    <row r="342" spans="6:6" x14ac:dyDescent="0.3">
      <c r="F342" s="29" t="str">
        <f t="shared" ca="1" si="7"/>
        <v>face</v>
      </c>
    </row>
    <row r="343" spans="6:6" x14ac:dyDescent="0.3">
      <c r="F343" s="29" t="str">
        <f t="shared" ca="1" si="7"/>
        <v>pile</v>
      </c>
    </row>
    <row r="344" spans="6:6" x14ac:dyDescent="0.3">
      <c r="F344" s="29" t="str">
        <f t="shared" ca="1" si="7"/>
        <v>pile</v>
      </c>
    </row>
    <row r="345" spans="6:6" x14ac:dyDescent="0.3">
      <c r="F345" s="29" t="str">
        <f t="shared" ca="1" si="7"/>
        <v>face</v>
      </c>
    </row>
    <row r="346" spans="6:6" x14ac:dyDescent="0.3">
      <c r="F346" s="29" t="str">
        <f t="shared" ca="1" si="7"/>
        <v>face</v>
      </c>
    </row>
    <row r="347" spans="6:6" x14ac:dyDescent="0.3">
      <c r="F347" s="29" t="str">
        <f t="shared" ca="1" si="7"/>
        <v>pile</v>
      </c>
    </row>
    <row r="348" spans="6:6" x14ac:dyDescent="0.3">
      <c r="F348" s="29" t="str">
        <f t="shared" ca="1" si="7"/>
        <v>face</v>
      </c>
    </row>
    <row r="349" spans="6:6" x14ac:dyDescent="0.3">
      <c r="F349" s="29" t="str">
        <f t="shared" ca="1" si="7"/>
        <v>face</v>
      </c>
    </row>
    <row r="350" spans="6:6" x14ac:dyDescent="0.3">
      <c r="F350" s="29" t="str">
        <f t="shared" ca="1" si="7"/>
        <v>face</v>
      </c>
    </row>
    <row r="351" spans="6:6" x14ac:dyDescent="0.3">
      <c r="F351" s="29" t="str">
        <f t="shared" ca="1" si="7"/>
        <v>face</v>
      </c>
    </row>
    <row r="352" spans="6:6" x14ac:dyDescent="0.3">
      <c r="F352" s="29" t="str">
        <f t="shared" ca="1" si="7"/>
        <v>pile</v>
      </c>
    </row>
    <row r="353" spans="6:6" x14ac:dyDescent="0.3">
      <c r="F353" s="29" t="str">
        <f t="shared" ca="1" si="7"/>
        <v>face</v>
      </c>
    </row>
    <row r="354" spans="6:6" x14ac:dyDescent="0.3">
      <c r="F354" s="29" t="str">
        <f t="shared" ca="1" si="7"/>
        <v>pile</v>
      </c>
    </row>
    <row r="355" spans="6:6" x14ac:dyDescent="0.3">
      <c r="F355" s="29" t="str">
        <f t="shared" ca="1" si="7"/>
        <v>face</v>
      </c>
    </row>
    <row r="356" spans="6:6" x14ac:dyDescent="0.3">
      <c r="F356" s="29" t="str">
        <f t="shared" ca="1" si="7"/>
        <v>pile</v>
      </c>
    </row>
    <row r="357" spans="6:6" x14ac:dyDescent="0.3">
      <c r="F357" s="29" t="str">
        <f t="shared" ca="1" si="7"/>
        <v>pile</v>
      </c>
    </row>
    <row r="358" spans="6:6" x14ac:dyDescent="0.3">
      <c r="F358" s="29" t="str">
        <f t="shared" ca="1" si="7"/>
        <v>pile</v>
      </c>
    </row>
    <row r="359" spans="6:6" x14ac:dyDescent="0.3">
      <c r="F359" s="29" t="str">
        <f t="shared" ref="F359:F422" ca="1" si="8">IF(RAND() &lt;= 0.5, "pile", "face")</f>
        <v>pile</v>
      </c>
    </row>
    <row r="360" spans="6:6" x14ac:dyDescent="0.3">
      <c r="F360" s="29" t="str">
        <f t="shared" ca="1" si="8"/>
        <v>pile</v>
      </c>
    </row>
    <row r="361" spans="6:6" x14ac:dyDescent="0.3">
      <c r="F361" s="29" t="str">
        <f t="shared" ca="1" si="8"/>
        <v>pile</v>
      </c>
    </row>
    <row r="362" spans="6:6" x14ac:dyDescent="0.3">
      <c r="F362" s="29" t="str">
        <f t="shared" ca="1" si="8"/>
        <v>pile</v>
      </c>
    </row>
    <row r="363" spans="6:6" x14ac:dyDescent="0.3">
      <c r="F363" s="29" t="str">
        <f t="shared" ca="1" si="8"/>
        <v>pile</v>
      </c>
    </row>
    <row r="364" spans="6:6" x14ac:dyDescent="0.3">
      <c r="F364" s="29" t="str">
        <f t="shared" ca="1" si="8"/>
        <v>face</v>
      </c>
    </row>
    <row r="365" spans="6:6" x14ac:dyDescent="0.3">
      <c r="F365" s="29" t="str">
        <f t="shared" ca="1" si="8"/>
        <v>pile</v>
      </c>
    </row>
    <row r="366" spans="6:6" x14ac:dyDescent="0.3">
      <c r="F366" s="29" t="str">
        <f t="shared" ca="1" si="8"/>
        <v>face</v>
      </c>
    </row>
    <row r="367" spans="6:6" x14ac:dyDescent="0.3">
      <c r="F367" s="29" t="str">
        <f t="shared" ca="1" si="8"/>
        <v>pile</v>
      </c>
    </row>
    <row r="368" spans="6:6" x14ac:dyDescent="0.3">
      <c r="F368" s="29" t="str">
        <f t="shared" ca="1" si="8"/>
        <v>pile</v>
      </c>
    </row>
    <row r="369" spans="6:6" x14ac:dyDescent="0.3">
      <c r="F369" s="29" t="str">
        <f t="shared" ca="1" si="8"/>
        <v>face</v>
      </c>
    </row>
    <row r="370" spans="6:6" x14ac:dyDescent="0.3">
      <c r="F370" s="29" t="str">
        <f t="shared" ca="1" si="8"/>
        <v>pile</v>
      </c>
    </row>
    <row r="371" spans="6:6" x14ac:dyDescent="0.3">
      <c r="F371" s="29" t="str">
        <f t="shared" ca="1" si="8"/>
        <v>pile</v>
      </c>
    </row>
    <row r="372" spans="6:6" x14ac:dyDescent="0.3">
      <c r="F372" s="29" t="str">
        <f t="shared" ca="1" si="8"/>
        <v>face</v>
      </c>
    </row>
    <row r="373" spans="6:6" x14ac:dyDescent="0.3">
      <c r="F373" s="29" t="str">
        <f t="shared" ca="1" si="8"/>
        <v>face</v>
      </c>
    </row>
    <row r="374" spans="6:6" x14ac:dyDescent="0.3">
      <c r="F374" s="29" t="str">
        <f t="shared" ca="1" si="8"/>
        <v>pile</v>
      </c>
    </row>
    <row r="375" spans="6:6" x14ac:dyDescent="0.3">
      <c r="F375" s="29" t="str">
        <f t="shared" ca="1" si="8"/>
        <v>face</v>
      </c>
    </row>
    <row r="376" spans="6:6" x14ac:dyDescent="0.3">
      <c r="F376" s="29" t="str">
        <f t="shared" ca="1" si="8"/>
        <v>pile</v>
      </c>
    </row>
    <row r="377" spans="6:6" x14ac:dyDescent="0.3">
      <c r="F377" s="29" t="str">
        <f t="shared" ca="1" si="8"/>
        <v>pile</v>
      </c>
    </row>
    <row r="378" spans="6:6" x14ac:dyDescent="0.3">
      <c r="F378" s="29" t="str">
        <f t="shared" ca="1" si="8"/>
        <v>face</v>
      </c>
    </row>
    <row r="379" spans="6:6" x14ac:dyDescent="0.3">
      <c r="F379" s="29" t="str">
        <f t="shared" ca="1" si="8"/>
        <v>face</v>
      </c>
    </row>
    <row r="380" spans="6:6" x14ac:dyDescent="0.3">
      <c r="F380" s="29" t="str">
        <f t="shared" ca="1" si="8"/>
        <v>face</v>
      </c>
    </row>
    <row r="381" spans="6:6" x14ac:dyDescent="0.3">
      <c r="F381" s="29" t="str">
        <f t="shared" ca="1" si="8"/>
        <v>pile</v>
      </c>
    </row>
    <row r="382" spans="6:6" x14ac:dyDescent="0.3">
      <c r="F382" s="29" t="str">
        <f t="shared" ca="1" si="8"/>
        <v>pile</v>
      </c>
    </row>
    <row r="383" spans="6:6" x14ac:dyDescent="0.3">
      <c r="F383" s="29" t="str">
        <f t="shared" ca="1" si="8"/>
        <v>face</v>
      </c>
    </row>
    <row r="384" spans="6:6" x14ac:dyDescent="0.3">
      <c r="F384" s="29" t="str">
        <f t="shared" ca="1" si="8"/>
        <v>face</v>
      </c>
    </row>
    <row r="385" spans="6:6" x14ac:dyDescent="0.3">
      <c r="F385" s="29" t="str">
        <f t="shared" ca="1" si="8"/>
        <v>pile</v>
      </c>
    </row>
    <row r="386" spans="6:6" x14ac:dyDescent="0.3">
      <c r="F386" s="29" t="str">
        <f t="shared" ca="1" si="8"/>
        <v>face</v>
      </c>
    </row>
    <row r="387" spans="6:6" x14ac:dyDescent="0.3">
      <c r="F387" s="29" t="str">
        <f t="shared" ca="1" si="8"/>
        <v>pile</v>
      </c>
    </row>
    <row r="388" spans="6:6" x14ac:dyDescent="0.3">
      <c r="F388" s="29" t="str">
        <f t="shared" ca="1" si="8"/>
        <v>pile</v>
      </c>
    </row>
    <row r="389" spans="6:6" x14ac:dyDescent="0.3">
      <c r="F389" s="29" t="str">
        <f t="shared" ca="1" si="8"/>
        <v>face</v>
      </c>
    </row>
    <row r="390" spans="6:6" x14ac:dyDescent="0.3">
      <c r="F390" s="29" t="str">
        <f t="shared" ca="1" si="8"/>
        <v>pile</v>
      </c>
    </row>
    <row r="391" spans="6:6" x14ac:dyDescent="0.3">
      <c r="F391" s="29" t="str">
        <f t="shared" ca="1" si="8"/>
        <v>pile</v>
      </c>
    </row>
    <row r="392" spans="6:6" x14ac:dyDescent="0.3">
      <c r="F392" s="29" t="str">
        <f t="shared" ca="1" si="8"/>
        <v>face</v>
      </c>
    </row>
    <row r="393" spans="6:6" x14ac:dyDescent="0.3">
      <c r="F393" s="29" t="str">
        <f t="shared" ca="1" si="8"/>
        <v>face</v>
      </c>
    </row>
    <row r="394" spans="6:6" x14ac:dyDescent="0.3">
      <c r="F394" s="29" t="str">
        <f t="shared" ca="1" si="8"/>
        <v>face</v>
      </c>
    </row>
    <row r="395" spans="6:6" x14ac:dyDescent="0.3">
      <c r="F395" s="29" t="str">
        <f t="shared" ca="1" si="8"/>
        <v>face</v>
      </c>
    </row>
    <row r="396" spans="6:6" x14ac:dyDescent="0.3">
      <c r="F396" s="29" t="str">
        <f t="shared" ca="1" si="8"/>
        <v>pile</v>
      </c>
    </row>
    <row r="397" spans="6:6" x14ac:dyDescent="0.3">
      <c r="F397" s="29" t="str">
        <f t="shared" ca="1" si="8"/>
        <v>face</v>
      </c>
    </row>
    <row r="398" spans="6:6" x14ac:dyDescent="0.3">
      <c r="F398" s="29" t="str">
        <f t="shared" ca="1" si="8"/>
        <v>face</v>
      </c>
    </row>
    <row r="399" spans="6:6" x14ac:dyDescent="0.3">
      <c r="F399" s="29" t="str">
        <f t="shared" ca="1" si="8"/>
        <v>pile</v>
      </c>
    </row>
    <row r="400" spans="6:6" x14ac:dyDescent="0.3">
      <c r="F400" s="29" t="str">
        <f t="shared" ca="1" si="8"/>
        <v>face</v>
      </c>
    </row>
    <row r="401" spans="6:6" x14ac:dyDescent="0.3">
      <c r="F401" s="29" t="str">
        <f t="shared" ca="1" si="8"/>
        <v>pile</v>
      </c>
    </row>
    <row r="402" spans="6:6" x14ac:dyDescent="0.3">
      <c r="F402" s="29" t="str">
        <f t="shared" ca="1" si="8"/>
        <v>pile</v>
      </c>
    </row>
    <row r="403" spans="6:6" x14ac:dyDescent="0.3">
      <c r="F403" s="29" t="str">
        <f t="shared" ca="1" si="8"/>
        <v>pile</v>
      </c>
    </row>
    <row r="404" spans="6:6" x14ac:dyDescent="0.3">
      <c r="F404" s="29" t="str">
        <f t="shared" ca="1" si="8"/>
        <v>pile</v>
      </c>
    </row>
    <row r="405" spans="6:6" x14ac:dyDescent="0.3">
      <c r="F405" s="29" t="str">
        <f t="shared" ca="1" si="8"/>
        <v>pile</v>
      </c>
    </row>
    <row r="406" spans="6:6" x14ac:dyDescent="0.3">
      <c r="F406" s="29" t="str">
        <f t="shared" ca="1" si="8"/>
        <v>pile</v>
      </c>
    </row>
    <row r="407" spans="6:6" x14ac:dyDescent="0.3">
      <c r="F407" s="29" t="str">
        <f t="shared" ca="1" si="8"/>
        <v>face</v>
      </c>
    </row>
    <row r="408" spans="6:6" x14ac:dyDescent="0.3">
      <c r="F408" s="29" t="str">
        <f t="shared" ca="1" si="8"/>
        <v>face</v>
      </c>
    </row>
    <row r="409" spans="6:6" x14ac:dyDescent="0.3">
      <c r="F409" s="29" t="str">
        <f t="shared" ca="1" si="8"/>
        <v>pile</v>
      </c>
    </row>
    <row r="410" spans="6:6" x14ac:dyDescent="0.3">
      <c r="F410" s="29" t="str">
        <f t="shared" ca="1" si="8"/>
        <v>pile</v>
      </c>
    </row>
    <row r="411" spans="6:6" x14ac:dyDescent="0.3">
      <c r="F411" s="29" t="str">
        <f t="shared" ca="1" si="8"/>
        <v>face</v>
      </c>
    </row>
    <row r="412" spans="6:6" x14ac:dyDescent="0.3">
      <c r="F412" s="29" t="str">
        <f t="shared" ca="1" si="8"/>
        <v>face</v>
      </c>
    </row>
    <row r="413" spans="6:6" x14ac:dyDescent="0.3">
      <c r="F413" s="29" t="str">
        <f t="shared" ca="1" si="8"/>
        <v>face</v>
      </c>
    </row>
    <row r="414" spans="6:6" x14ac:dyDescent="0.3">
      <c r="F414" s="29" t="str">
        <f t="shared" ca="1" si="8"/>
        <v>pile</v>
      </c>
    </row>
    <row r="415" spans="6:6" x14ac:dyDescent="0.3">
      <c r="F415" s="29" t="str">
        <f t="shared" ca="1" si="8"/>
        <v>face</v>
      </c>
    </row>
    <row r="416" spans="6:6" x14ac:dyDescent="0.3">
      <c r="F416" s="29" t="str">
        <f t="shared" ca="1" si="8"/>
        <v>face</v>
      </c>
    </row>
    <row r="417" spans="6:6" x14ac:dyDescent="0.3">
      <c r="F417" s="29" t="str">
        <f t="shared" ca="1" si="8"/>
        <v>face</v>
      </c>
    </row>
    <row r="418" spans="6:6" x14ac:dyDescent="0.3">
      <c r="F418" s="29" t="str">
        <f t="shared" ca="1" si="8"/>
        <v>face</v>
      </c>
    </row>
    <row r="419" spans="6:6" x14ac:dyDescent="0.3">
      <c r="F419" s="29" t="str">
        <f t="shared" ca="1" si="8"/>
        <v>face</v>
      </c>
    </row>
    <row r="420" spans="6:6" x14ac:dyDescent="0.3">
      <c r="F420" s="29" t="str">
        <f t="shared" ca="1" si="8"/>
        <v>face</v>
      </c>
    </row>
    <row r="421" spans="6:6" x14ac:dyDescent="0.3">
      <c r="F421" s="29" t="str">
        <f t="shared" ca="1" si="8"/>
        <v>face</v>
      </c>
    </row>
    <row r="422" spans="6:6" x14ac:dyDescent="0.3">
      <c r="F422" s="29" t="str">
        <f t="shared" ca="1" si="8"/>
        <v>pile</v>
      </c>
    </row>
    <row r="423" spans="6:6" x14ac:dyDescent="0.3">
      <c r="F423" s="29" t="str">
        <f t="shared" ref="F423:F486" ca="1" si="9">IF(RAND() &lt;= 0.5, "pile", "face")</f>
        <v>face</v>
      </c>
    </row>
    <row r="424" spans="6:6" x14ac:dyDescent="0.3">
      <c r="F424" s="29" t="str">
        <f t="shared" ca="1" si="9"/>
        <v>face</v>
      </c>
    </row>
    <row r="425" spans="6:6" x14ac:dyDescent="0.3">
      <c r="F425" s="29" t="str">
        <f t="shared" ca="1" si="9"/>
        <v>pile</v>
      </c>
    </row>
    <row r="426" spans="6:6" x14ac:dyDescent="0.3">
      <c r="F426" s="29" t="str">
        <f t="shared" ca="1" si="9"/>
        <v>face</v>
      </c>
    </row>
    <row r="427" spans="6:6" x14ac:dyDescent="0.3">
      <c r="F427" s="29" t="str">
        <f t="shared" ca="1" si="9"/>
        <v>face</v>
      </c>
    </row>
    <row r="428" spans="6:6" x14ac:dyDescent="0.3">
      <c r="F428" s="29" t="str">
        <f t="shared" ca="1" si="9"/>
        <v>pile</v>
      </c>
    </row>
    <row r="429" spans="6:6" x14ac:dyDescent="0.3">
      <c r="F429" s="29" t="str">
        <f t="shared" ca="1" si="9"/>
        <v>pile</v>
      </c>
    </row>
    <row r="430" spans="6:6" x14ac:dyDescent="0.3">
      <c r="F430" s="29" t="str">
        <f t="shared" ca="1" si="9"/>
        <v>pile</v>
      </c>
    </row>
    <row r="431" spans="6:6" x14ac:dyDescent="0.3">
      <c r="F431" s="29" t="str">
        <f t="shared" ca="1" si="9"/>
        <v>pile</v>
      </c>
    </row>
    <row r="432" spans="6:6" x14ac:dyDescent="0.3">
      <c r="F432" s="29" t="str">
        <f t="shared" ca="1" si="9"/>
        <v>pile</v>
      </c>
    </row>
    <row r="433" spans="6:6" x14ac:dyDescent="0.3">
      <c r="F433" s="29" t="str">
        <f t="shared" ca="1" si="9"/>
        <v>pile</v>
      </c>
    </row>
    <row r="434" spans="6:6" x14ac:dyDescent="0.3">
      <c r="F434" s="29" t="str">
        <f t="shared" ca="1" si="9"/>
        <v>face</v>
      </c>
    </row>
    <row r="435" spans="6:6" x14ac:dyDescent="0.3">
      <c r="F435" s="29" t="str">
        <f t="shared" ca="1" si="9"/>
        <v>pile</v>
      </c>
    </row>
    <row r="436" spans="6:6" x14ac:dyDescent="0.3">
      <c r="F436" s="29" t="str">
        <f t="shared" ca="1" si="9"/>
        <v>pile</v>
      </c>
    </row>
    <row r="437" spans="6:6" x14ac:dyDescent="0.3">
      <c r="F437" s="29" t="str">
        <f t="shared" ca="1" si="9"/>
        <v>pile</v>
      </c>
    </row>
    <row r="438" spans="6:6" x14ac:dyDescent="0.3">
      <c r="F438" s="29" t="str">
        <f t="shared" ca="1" si="9"/>
        <v>pile</v>
      </c>
    </row>
    <row r="439" spans="6:6" x14ac:dyDescent="0.3">
      <c r="F439" s="29" t="str">
        <f t="shared" ca="1" si="9"/>
        <v>pile</v>
      </c>
    </row>
    <row r="440" spans="6:6" x14ac:dyDescent="0.3">
      <c r="F440" s="29" t="str">
        <f t="shared" ca="1" si="9"/>
        <v>pile</v>
      </c>
    </row>
    <row r="441" spans="6:6" x14ac:dyDescent="0.3">
      <c r="F441" s="29" t="str">
        <f t="shared" ca="1" si="9"/>
        <v>pile</v>
      </c>
    </row>
    <row r="442" spans="6:6" x14ac:dyDescent="0.3">
      <c r="F442" s="29" t="str">
        <f t="shared" ca="1" si="9"/>
        <v>face</v>
      </c>
    </row>
    <row r="443" spans="6:6" x14ac:dyDescent="0.3">
      <c r="F443" s="29" t="str">
        <f t="shared" ca="1" si="9"/>
        <v>pile</v>
      </c>
    </row>
    <row r="444" spans="6:6" x14ac:dyDescent="0.3">
      <c r="F444" s="29" t="str">
        <f t="shared" ca="1" si="9"/>
        <v>face</v>
      </c>
    </row>
    <row r="445" spans="6:6" x14ac:dyDescent="0.3">
      <c r="F445" s="29" t="str">
        <f t="shared" ca="1" si="9"/>
        <v>pile</v>
      </c>
    </row>
    <row r="446" spans="6:6" x14ac:dyDescent="0.3">
      <c r="F446" s="29" t="str">
        <f t="shared" ca="1" si="9"/>
        <v>pile</v>
      </c>
    </row>
    <row r="447" spans="6:6" x14ac:dyDescent="0.3">
      <c r="F447" s="29" t="str">
        <f t="shared" ca="1" si="9"/>
        <v>face</v>
      </c>
    </row>
    <row r="448" spans="6:6" x14ac:dyDescent="0.3">
      <c r="F448" s="29" t="str">
        <f t="shared" ca="1" si="9"/>
        <v>pile</v>
      </c>
    </row>
    <row r="449" spans="6:6" x14ac:dyDescent="0.3">
      <c r="F449" s="29" t="str">
        <f t="shared" ca="1" si="9"/>
        <v>pile</v>
      </c>
    </row>
    <row r="450" spans="6:6" x14ac:dyDescent="0.3">
      <c r="F450" s="29" t="str">
        <f t="shared" ca="1" si="9"/>
        <v>pile</v>
      </c>
    </row>
    <row r="451" spans="6:6" x14ac:dyDescent="0.3">
      <c r="F451" s="29" t="str">
        <f t="shared" ca="1" si="9"/>
        <v>pile</v>
      </c>
    </row>
    <row r="452" spans="6:6" x14ac:dyDescent="0.3">
      <c r="F452" s="29" t="str">
        <f t="shared" ca="1" si="9"/>
        <v>pile</v>
      </c>
    </row>
    <row r="453" spans="6:6" x14ac:dyDescent="0.3">
      <c r="F453" s="29" t="str">
        <f t="shared" ca="1" si="9"/>
        <v>pile</v>
      </c>
    </row>
    <row r="454" spans="6:6" x14ac:dyDescent="0.3">
      <c r="F454" s="29" t="str">
        <f t="shared" ca="1" si="9"/>
        <v>pile</v>
      </c>
    </row>
    <row r="455" spans="6:6" x14ac:dyDescent="0.3">
      <c r="F455" s="29" t="str">
        <f t="shared" ca="1" si="9"/>
        <v>pile</v>
      </c>
    </row>
    <row r="456" spans="6:6" x14ac:dyDescent="0.3">
      <c r="F456" s="29" t="str">
        <f t="shared" ca="1" si="9"/>
        <v>pile</v>
      </c>
    </row>
    <row r="457" spans="6:6" x14ac:dyDescent="0.3">
      <c r="F457" s="29" t="str">
        <f t="shared" ca="1" si="9"/>
        <v>face</v>
      </c>
    </row>
    <row r="458" spans="6:6" x14ac:dyDescent="0.3">
      <c r="F458" s="29" t="str">
        <f t="shared" ca="1" si="9"/>
        <v>face</v>
      </c>
    </row>
    <row r="459" spans="6:6" x14ac:dyDescent="0.3">
      <c r="F459" s="29" t="str">
        <f t="shared" ca="1" si="9"/>
        <v>face</v>
      </c>
    </row>
    <row r="460" spans="6:6" x14ac:dyDescent="0.3">
      <c r="F460" s="29" t="str">
        <f t="shared" ca="1" si="9"/>
        <v>face</v>
      </c>
    </row>
    <row r="461" spans="6:6" x14ac:dyDescent="0.3">
      <c r="F461" s="29" t="str">
        <f t="shared" ca="1" si="9"/>
        <v>pile</v>
      </c>
    </row>
    <row r="462" spans="6:6" x14ac:dyDescent="0.3">
      <c r="F462" s="29" t="str">
        <f t="shared" ca="1" si="9"/>
        <v>pile</v>
      </c>
    </row>
    <row r="463" spans="6:6" x14ac:dyDescent="0.3">
      <c r="F463" s="29" t="str">
        <f t="shared" ca="1" si="9"/>
        <v>face</v>
      </c>
    </row>
    <row r="464" spans="6:6" x14ac:dyDescent="0.3">
      <c r="F464" s="29" t="str">
        <f t="shared" ca="1" si="9"/>
        <v>face</v>
      </c>
    </row>
    <row r="465" spans="6:6" x14ac:dyDescent="0.3">
      <c r="F465" s="29" t="str">
        <f t="shared" ca="1" si="9"/>
        <v>face</v>
      </c>
    </row>
    <row r="466" spans="6:6" x14ac:dyDescent="0.3">
      <c r="F466" s="29" t="str">
        <f t="shared" ca="1" si="9"/>
        <v>pile</v>
      </c>
    </row>
    <row r="467" spans="6:6" x14ac:dyDescent="0.3">
      <c r="F467" s="29" t="str">
        <f t="shared" ca="1" si="9"/>
        <v>pile</v>
      </c>
    </row>
    <row r="468" spans="6:6" x14ac:dyDescent="0.3">
      <c r="F468" s="29" t="str">
        <f t="shared" ca="1" si="9"/>
        <v>face</v>
      </c>
    </row>
    <row r="469" spans="6:6" x14ac:dyDescent="0.3">
      <c r="F469" s="29" t="str">
        <f t="shared" ca="1" si="9"/>
        <v>face</v>
      </c>
    </row>
    <row r="470" spans="6:6" x14ac:dyDescent="0.3">
      <c r="F470" s="29" t="str">
        <f t="shared" ca="1" si="9"/>
        <v>face</v>
      </c>
    </row>
    <row r="471" spans="6:6" x14ac:dyDescent="0.3">
      <c r="F471" s="29" t="str">
        <f t="shared" ca="1" si="9"/>
        <v>pile</v>
      </c>
    </row>
    <row r="472" spans="6:6" x14ac:dyDescent="0.3">
      <c r="F472" s="29" t="str">
        <f t="shared" ca="1" si="9"/>
        <v>pile</v>
      </c>
    </row>
    <row r="473" spans="6:6" x14ac:dyDescent="0.3">
      <c r="F473" s="29" t="str">
        <f t="shared" ca="1" si="9"/>
        <v>face</v>
      </c>
    </row>
    <row r="474" spans="6:6" x14ac:dyDescent="0.3">
      <c r="F474" s="29" t="str">
        <f t="shared" ca="1" si="9"/>
        <v>face</v>
      </c>
    </row>
    <row r="475" spans="6:6" x14ac:dyDescent="0.3">
      <c r="F475" s="29" t="str">
        <f t="shared" ca="1" si="9"/>
        <v>face</v>
      </c>
    </row>
    <row r="476" spans="6:6" x14ac:dyDescent="0.3">
      <c r="F476" s="29" t="str">
        <f t="shared" ca="1" si="9"/>
        <v>pile</v>
      </c>
    </row>
    <row r="477" spans="6:6" x14ac:dyDescent="0.3">
      <c r="F477" s="29" t="str">
        <f t="shared" ca="1" si="9"/>
        <v>face</v>
      </c>
    </row>
    <row r="478" spans="6:6" x14ac:dyDescent="0.3">
      <c r="F478" s="29" t="str">
        <f t="shared" ca="1" si="9"/>
        <v>pile</v>
      </c>
    </row>
    <row r="479" spans="6:6" x14ac:dyDescent="0.3">
      <c r="F479" s="29" t="str">
        <f t="shared" ca="1" si="9"/>
        <v>face</v>
      </c>
    </row>
    <row r="480" spans="6:6" x14ac:dyDescent="0.3">
      <c r="F480" s="29" t="str">
        <f t="shared" ca="1" si="9"/>
        <v>face</v>
      </c>
    </row>
    <row r="481" spans="6:6" x14ac:dyDescent="0.3">
      <c r="F481" s="29" t="str">
        <f t="shared" ca="1" si="9"/>
        <v>face</v>
      </c>
    </row>
    <row r="482" spans="6:6" x14ac:dyDescent="0.3">
      <c r="F482" s="29" t="str">
        <f t="shared" ca="1" si="9"/>
        <v>face</v>
      </c>
    </row>
    <row r="483" spans="6:6" x14ac:dyDescent="0.3">
      <c r="F483" s="29" t="str">
        <f t="shared" ca="1" si="9"/>
        <v>pile</v>
      </c>
    </row>
    <row r="484" spans="6:6" x14ac:dyDescent="0.3">
      <c r="F484" s="29" t="str">
        <f t="shared" ca="1" si="9"/>
        <v>pile</v>
      </c>
    </row>
    <row r="485" spans="6:6" x14ac:dyDescent="0.3">
      <c r="F485" s="29" t="str">
        <f t="shared" ca="1" si="9"/>
        <v>face</v>
      </c>
    </row>
    <row r="486" spans="6:6" x14ac:dyDescent="0.3">
      <c r="F486" s="29" t="str">
        <f t="shared" ca="1" si="9"/>
        <v>pile</v>
      </c>
    </row>
    <row r="487" spans="6:6" x14ac:dyDescent="0.3">
      <c r="F487" s="29" t="str">
        <f t="shared" ref="F487:F550" ca="1" si="10">IF(RAND() &lt;= 0.5, "pile", "face")</f>
        <v>face</v>
      </c>
    </row>
    <row r="488" spans="6:6" x14ac:dyDescent="0.3">
      <c r="F488" s="29" t="str">
        <f t="shared" ca="1" si="10"/>
        <v>face</v>
      </c>
    </row>
    <row r="489" spans="6:6" x14ac:dyDescent="0.3">
      <c r="F489" s="29" t="str">
        <f t="shared" ca="1" si="10"/>
        <v>pile</v>
      </c>
    </row>
    <row r="490" spans="6:6" x14ac:dyDescent="0.3">
      <c r="F490" s="29" t="str">
        <f t="shared" ca="1" si="10"/>
        <v>pile</v>
      </c>
    </row>
    <row r="491" spans="6:6" x14ac:dyDescent="0.3">
      <c r="F491" s="29" t="str">
        <f t="shared" ca="1" si="10"/>
        <v>pile</v>
      </c>
    </row>
    <row r="492" spans="6:6" x14ac:dyDescent="0.3">
      <c r="F492" s="29" t="str">
        <f t="shared" ca="1" si="10"/>
        <v>face</v>
      </c>
    </row>
    <row r="493" spans="6:6" x14ac:dyDescent="0.3">
      <c r="F493" s="29" t="str">
        <f t="shared" ca="1" si="10"/>
        <v>face</v>
      </c>
    </row>
    <row r="494" spans="6:6" x14ac:dyDescent="0.3">
      <c r="F494" s="29" t="str">
        <f t="shared" ca="1" si="10"/>
        <v>face</v>
      </c>
    </row>
    <row r="495" spans="6:6" x14ac:dyDescent="0.3">
      <c r="F495" s="29" t="str">
        <f t="shared" ca="1" si="10"/>
        <v>pile</v>
      </c>
    </row>
    <row r="496" spans="6:6" x14ac:dyDescent="0.3">
      <c r="F496" s="29" t="str">
        <f t="shared" ca="1" si="10"/>
        <v>face</v>
      </c>
    </row>
    <row r="497" spans="6:6" x14ac:dyDescent="0.3">
      <c r="F497" s="29" t="str">
        <f t="shared" ca="1" si="10"/>
        <v>face</v>
      </c>
    </row>
    <row r="498" spans="6:6" x14ac:dyDescent="0.3">
      <c r="F498" s="29" t="str">
        <f t="shared" ca="1" si="10"/>
        <v>face</v>
      </c>
    </row>
    <row r="499" spans="6:6" x14ac:dyDescent="0.3">
      <c r="F499" s="29" t="str">
        <f t="shared" ca="1" si="10"/>
        <v>face</v>
      </c>
    </row>
    <row r="500" spans="6:6" x14ac:dyDescent="0.3">
      <c r="F500" s="29" t="str">
        <f t="shared" ca="1" si="10"/>
        <v>pile</v>
      </c>
    </row>
    <row r="501" spans="6:6" x14ac:dyDescent="0.3">
      <c r="F501" s="29" t="str">
        <f t="shared" ca="1" si="10"/>
        <v>face</v>
      </c>
    </row>
    <row r="502" spans="6:6" x14ac:dyDescent="0.3">
      <c r="F502" s="29" t="str">
        <f t="shared" ca="1" si="10"/>
        <v>pile</v>
      </c>
    </row>
    <row r="503" spans="6:6" x14ac:dyDescent="0.3">
      <c r="F503" s="29" t="str">
        <f t="shared" ca="1" si="10"/>
        <v>pile</v>
      </c>
    </row>
    <row r="504" spans="6:6" x14ac:dyDescent="0.3">
      <c r="F504" s="29" t="str">
        <f t="shared" ca="1" si="10"/>
        <v>pile</v>
      </c>
    </row>
    <row r="505" spans="6:6" x14ac:dyDescent="0.3">
      <c r="F505" s="29" t="str">
        <f t="shared" ca="1" si="10"/>
        <v>face</v>
      </c>
    </row>
    <row r="506" spans="6:6" x14ac:dyDescent="0.3">
      <c r="F506" s="29" t="str">
        <f t="shared" ca="1" si="10"/>
        <v>face</v>
      </c>
    </row>
    <row r="507" spans="6:6" x14ac:dyDescent="0.3">
      <c r="F507" s="29" t="str">
        <f t="shared" ca="1" si="10"/>
        <v>face</v>
      </c>
    </row>
    <row r="508" spans="6:6" x14ac:dyDescent="0.3">
      <c r="F508" s="29" t="str">
        <f t="shared" ca="1" si="10"/>
        <v>pile</v>
      </c>
    </row>
    <row r="509" spans="6:6" x14ac:dyDescent="0.3">
      <c r="F509" s="29" t="str">
        <f t="shared" ca="1" si="10"/>
        <v>face</v>
      </c>
    </row>
    <row r="510" spans="6:6" x14ac:dyDescent="0.3">
      <c r="F510" s="29" t="str">
        <f t="shared" ca="1" si="10"/>
        <v>pile</v>
      </c>
    </row>
    <row r="511" spans="6:6" x14ac:dyDescent="0.3">
      <c r="F511" s="29" t="str">
        <f t="shared" ca="1" si="10"/>
        <v>face</v>
      </c>
    </row>
    <row r="512" spans="6:6" x14ac:dyDescent="0.3">
      <c r="F512" s="29" t="str">
        <f t="shared" ca="1" si="10"/>
        <v>face</v>
      </c>
    </row>
    <row r="513" spans="6:6" x14ac:dyDescent="0.3">
      <c r="F513" s="29" t="str">
        <f t="shared" ca="1" si="10"/>
        <v>pile</v>
      </c>
    </row>
    <row r="514" spans="6:6" x14ac:dyDescent="0.3">
      <c r="F514" s="29" t="str">
        <f t="shared" ca="1" si="10"/>
        <v>pile</v>
      </c>
    </row>
    <row r="515" spans="6:6" x14ac:dyDescent="0.3">
      <c r="F515" s="29" t="str">
        <f t="shared" ca="1" si="10"/>
        <v>pile</v>
      </c>
    </row>
    <row r="516" spans="6:6" x14ac:dyDescent="0.3">
      <c r="F516" s="29" t="str">
        <f t="shared" ca="1" si="10"/>
        <v>pile</v>
      </c>
    </row>
    <row r="517" spans="6:6" x14ac:dyDescent="0.3">
      <c r="F517" s="29" t="str">
        <f t="shared" ca="1" si="10"/>
        <v>face</v>
      </c>
    </row>
    <row r="518" spans="6:6" x14ac:dyDescent="0.3">
      <c r="F518" s="29" t="str">
        <f t="shared" ca="1" si="10"/>
        <v>face</v>
      </c>
    </row>
    <row r="519" spans="6:6" x14ac:dyDescent="0.3">
      <c r="F519" s="29" t="str">
        <f t="shared" ca="1" si="10"/>
        <v>face</v>
      </c>
    </row>
    <row r="520" spans="6:6" x14ac:dyDescent="0.3">
      <c r="F520" s="29" t="str">
        <f t="shared" ca="1" si="10"/>
        <v>pile</v>
      </c>
    </row>
    <row r="521" spans="6:6" x14ac:dyDescent="0.3">
      <c r="F521" s="29" t="str">
        <f t="shared" ca="1" si="10"/>
        <v>face</v>
      </c>
    </row>
    <row r="522" spans="6:6" x14ac:dyDescent="0.3">
      <c r="F522" s="29" t="str">
        <f t="shared" ca="1" si="10"/>
        <v>face</v>
      </c>
    </row>
    <row r="523" spans="6:6" x14ac:dyDescent="0.3">
      <c r="F523" s="29" t="str">
        <f t="shared" ca="1" si="10"/>
        <v>pile</v>
      </c>
    </row>
    <row r="524" spans="6:6" x14ac:dyDescent="0.3">
      <c r="F524" s="29" t="str">
        <f t="shared" ca="1" si="10"/>
        <v>face</v>
      </c>
    </row>
    <row r="525" spans="6:6" x14ac:dyDescent="0.3">
      <c r="F525" s="29" t="str">
        <f t="shared" ca="1" si="10"/>
        <v>face</v>
      </c>
    </row>
    <row r="526" spans="6:6" x14ac:dyDescent="0.3">
      <c r="F526" s="29" t="str">
        <f t="shared" ca="1" si="10"/>
        <v>face</v>
      </c>
    </row>
    <row r="527" spans="6:6" x14ac:dyDescent="0.3">
      <c r="F527" s="29" t="str">
        <f t="shared" ca="1" si="10"/>
        <v>face</v>
      </c>
    </row>
    <row r="528" spans="6:6" x14ac:dyDescent="0.3">
      <c r="F528" s="29" t="str">
        <f t="shared" ca="1" si="10"/>
        <v>face</v>
      </c>
    </row>
    <row r="529" spans="6:6" x14ac:dyDescent="0.3">
      <c r="F529" s="29" t="str">
        <f t="shared" ca="1" si="10"/>
        <v>face</v>
      </c>
    </row>
    <row r="530" spans="6:6" x14ac:dyDescent="0.3">
      <c r="F530" s="29" t="str">
        <f t="shared" ca="1" si="10"/>
        <v>face</v>
      </c>
    </row>
    <row r="531" spans="6:6" x14ac:dyDescent="0.3">
      <c r="F531" s="29" t="str">
        <f t="shared" ca="1" si="10"/>
        <v>face</v>
      </c>
    </row>
    <row r="532" spans="6:6" x14ac:dyDescent="0.3">
      <c r="F532" s="29" t="str">
        <f t="shared" ca="1" si="10"/>
        <v>pile</v>
      </c>
    </row>
    <row r="533" spans="6:6" x14ac:dyDescent="0.3">
      <c r="F533" s="29" t="str">
        <f t="shared" ca="1" si="10"/>
        <v>face</v>
      </c>
    </row>
    <row r="534" spans="6:6" x14ac:dyDescent="0.3">
      <c r="F534" s="29" t="str">
        <f t="shared" ca="1" si="10"/>
        <v>pile</v>
      </c>
    </row>
    <row r="535" spans="6:6" x14ac:dyDescent="0.3">
      <c r="F535" s="29" t="str">
        <f t="shared" ca="1" si="10"/>
        <v>face</v>
      </c>
    </row>
    <row r="536" spans="6:6" x14ac:dyDescent="0.3">
      <c r="F536" s="29" t="str">
        <f t="shared" ca="1" si="10"/>
        <v>pile</v>
      </c>
    </row>
    <row r="537" spans="6:6" x14ac:dyDescent="0.3">
      <c r="F537" s="29" t="str">
        <f t="shared" ca="1" si="10"/>
        <v>pile</v>
      </c>
    </row>
    <row r="538" spans="6:6" x14ac:dyDescent="0.3">
      <c r="F538" s="29" t="str">
        <f t="shared" ca="1" si="10"/>
        <v>pile</v>
      </c>
    </row>
    <row r="539" spans="6:6" x14ac:dyDescent="0.3">
      <c r="F539" s="29" t="str">
        <f t="shared" ca="1" si="10"/>
        <v>face</v>
      </c>
    </row>
    <row r="540" spans="6:6" x14ac:dyDescent="0.3">
      <c r="F540" s="29" t="str">
        <f t="shared" ca="1" si="10"/>
        <v>face</v>
      </c>
    </row>
    <row r="541" spans="6:6" x14ac:dyDescent="0.3">
      <c r="F541" s="29" t="str">
        <f t="shared" ca="1" si="10"/>
        <v>pile</v>
      </c>
    </row>
    <row r="542" spans="6:6" x14ac:dyDescent="0.3">
      <c r="F542" s="29" t="str">
        <f t="shared" ca="1" si="10"/>
        <v>face</v>
      </c>
    </row>
    <row r="543" spans="6:6" x14ac:dyDescent="0.3">
      <c r="F543" s="29" t="str">
        <f t="shared" ca="1" si="10"/>
        <v>pile</v>
      </c>
    </row>
    <row r="544" spans="6:6" x14ac:dyDescent="0.3">
      <c r="F544" s="29" t="str">
        <f t="shared" ca="1" si="10"/>
        <v>face</v>
      </c>
    </row>
    <row r="545" spans="6:6" x14ac:dyDescent="0.3">
      <c r="F545" s="29" t="str">
        <f t="shared" ca="1" si="10"/>
        <v>face</v>
      </c>
    </row>
    <row r="546" spans="6:6" x14ac:dyDescent="0.3">
      <c r="F546" s="29" t="str">
        <f t="shared" ca="1" si="10"/>
        <v>face</v>
      </c>
    </row>
    <row r="547" spans="6:6" x14ac:dyDescent="0.3">
      <c r="F547" s="29" t="str">
        <f t="shared" ca="1" si="10"/>
        <v>pile</v>
      </c>
    </row>
    <row r="548" spans="6:6" x14ac:dyDescent="0.3">
      <c r="F548" s="29" t="str">
        <f t="shared" ca="1" si="10"/>
        <v>face</v>
      </c>
    </row>
    <row r="549" spans="6:6" x14ac:dyDescent="0.3">
      <c r="F549" s="29" t="str">
        <f t="shared" ca="1" si="10"/>
        <v>pile</v>
      </c>
    </row>
    <row r="550" spans="6:6" x14ac:dyDescent="0.3">
      <c r="F550" s="29" t="str">
        <f t="shared" ca="1" si="10"/>
        <v>face</v>
      </c>
    </row>
    <row r="551" spans="6:6" x14ac:dyDescent="0.3">
      <c r="F551" s="29" t="str">
        <f t="shared" ref="F551:F614" ca="1" si="11">IF(RAND() &lt;= 0.5, "pile", "face")</f>
        <v>pile</v>
      </c>
    </row>
    <row r="552" spans="6:6" x14ac:dyDescent="0.3">
      <c r="F552" s="29" t="str">
        <f t="shared" ca="1" si="11"/>
        <v>pile</v>
      </c>
    </row>
    <row r="553" spans="6:6" x14ac:dyDescent="0.3">
      <c r="F553" s="29" t="str">
        <f t="shared" ca="1" si="11"/>
        <v>face</v>
      </c>
    </row>
    <row r="554" spans="6:6" x14ac:dyDescent="0.3">
      <c r="F554" s="29" t="str">
        <f t="shared" ca="1" si="11"/>
        <v>face</v>
      </c>
    </row>
    <row r="555" spans="6:6" x14ac:dyDescent="0.3">
      <c r="F555" s="29" t="str">
        <f t="shared" ca="1" si="11"/>
        <v>pile</v>
      </c>
    </row>
    <row r="556" spans="6:6" x14ac:dyDescent="0.3">
      <c r="F556" s="29" t="str">
        <f t="shared" ca="1" si="11"/>
        <v>pile</v>
      </c>
    </row>
    <row r="557" spans="6:6" x14ac:dyDescent="0.3">
      <c r="F557" s="29" t="str">
        <f t="shared" ca="1" si="11"/>
        <v>pile</v>
      </c>
    </row>
    <row r="558" spans="6:6" x14ac:dyDescent="0.3">
      <c r="F558" s="29" t="str">
        <f t="shared" ca="1" si="11"/>
        <v>pile</v>
      </c>
    </row>
    <row r="559" spans="6:6" x14ac:dyDescent="0.3">
      <c r="F559" s="29" t="str">
        <f t="shared" ca="1" si="11"/>
        <v>face</v>
      </c>
    </row>
    <row r="560" spans="6:6" x14ac:dyDescent="0.3">
      <c r="F560" s="29" t="str">
        <f t="shared" ca="1" si="11"/>
        <v>face</v>
      </c>
    </row>
    <row r="561" spans="6:6" x14ac:dyDescent="0.3">
      <c r="F561" s="29" t="str">
        <f t="shared" ca="1" si="11"/>
        <v>pile</v>
      </c>
    </row>
    <row r="562" spans="6:6" x14ac:dyDescent="0.3">
      <c r="F562" s="29" t="str">
        <f t="shared" ca="1" si="11"/>
        <v>face</v>
      </c>
    </row>
    <row r="563" spans="6:6" x14ac:dyDescent="0.3">
      <c r="F563" s="29" t="str">
        <f t="shared" ca="1" si="11"/>
        <v>face</v>
      </c>
    </row>
    <row r="564" spans="6:6" x14ac:dyDescent="0.3">
      <c r="F564" s="29" t="str">
        <f t="shared" ca="1" si="11"/>
        <v>face</v>
      </c>
    </row>
    <row r="565" spans="6:6" x14ac:dyDescent="0.3">
      <c r="F565" s="29" t="str">
        <f t="shared" ca="1" si="11"/>
        <v>pile</v>
      </c>
    </row>
    <row r="566" spans="6:6" x14ac:dyDescent="0.3">
      <c r="F566" s="29" t="str">
        <f t="shared" ca="1" si="11"/>
        <v>pile</v>
      </c>
    </row>
    <row r="567" spans="6:6" x14ac:dyDescent="0.3">
      <c r="F567" s="29" t="str">
        <f t="shared" ca="1" si="11"/>
        <v>pile</v>
      </c>
    </row>
    <row r="568" spans="6:6" x14ac:dyDescent="0.3">
      <c r="F568" s="29" t="str">
        <f t="shared" ca="1" si="11"/>
        <v>face</v>
      </c>
    </row>
    <row r="569" spans="6:6" x14ac:dyDescent="0.3">
      <c r="F569" s="29" t="str">
        <f t="shared" ca="1" si="11"/>
        <v>pile</v>
      </c>
    </row>
    <row r="570" spans="6:6" x14ac:dyDescent="0.3">
      <c r="F570" s="29" t="str">
        <f t="shared" ca="1" si="11"/>
        <v>pile</v>
      </c>
    </row>
    <row r="571" spans="6:6" x14ac:dyDescent="0.3">
      <c r="F571" s="29" t="str">
        <f t="shared" ca="1" si="11"/>
        <v>pile</v>
      </c>
    </row>
    <row r="572" spans="6:6" x14ac:dyDescent="0.3">
      <c r="F572" s="29" t="str">
        <f t="shared" ca="1" si="11"/>
        <v>face</v>
      </c>
    </row>
    <row r="573" spans="6:6" x14ac:dyDescent="0.3">
      <c r="F573" s="29" t="str">
        <f t="shared" ca="1" si="11"/>
        <v>face</v>
      </c>
    </row>
    <row r="574" spans="6:6" x14ac:dyDescent="0.3">
      <c r="F574" s="29" t="str">
        <f t="shared" ca="1" si="11"/>
        <v>pile</v>
      </c>
    </row>
    <row r="575" spans="6:6" x14ac:dyDescent="0.3">
      <c r="F575" s="29" t="str">
        <f t="shared" ca="1" si="11"/>
        <v>face</v>
      </c>
    </row>
    <row r="576" spans="6:6" x14ac:dyDescent="0.3">
      <c r="F576" s="29" t="str">
        <f t="shared" ca="1" si="11"/>
        <v>face</v>
      </c>
    </row>
    <row r="577" spans="6:6" x14ac:dyDescent="0.3">
      <c r="F577" s="29" t="str">
        <f t="shared" ca="1" si="11"/>
        <v>face</v>
      </c>
    </row>
    <row r="578" spans="6:6" x14ac:dyDescent="0.3">
      <c r="F578" s="29" t="str">
        <f t="shared" ca="1" si="11"/>
        <v>face</v>
      </c>
    </row>
    <row r="579" spans="6:6" x14ac:dyDescent="0.3">
      <c r="F579" s="29" t="str">
        <f t="shared" ca="1" si="11"/>
        <v>face</v>
      </c>
    </row>
    <row r="580" spans="6:6" x14ac:dyDescent="0.3">
      <c r="F580" s="29" t="str">
        <f t="shared" ca="1" si="11"/>
        <v>face</v>
      </c>
    </row>
    <row r="581" spans="6:6" x14ac:dyDescent="0.3">
      <c r="F581" s="29" t="str">
        <f t="shared" ca="1" si="11"/>
        <v>pile</v>
      </c>
    </row>
    <row r="582" spans="6:6" x14ac:dyDescent="0.3">
      <c r="F582" s="29" t="str">
        <f t="shared" ca="1" si="11"/>
        <v>pile</v>
      </c>
    </row>
    <row r="583" spans="6:6" x14ac:dyDescent="0.3">
      <c r="F583" s="29" t="str">
        <f t="shared" ca="1" si="11"/>
        <v>face</v>
      </c>
    </row>
    <row r="584" spans="6:6" x14ac:dyDescent="0.3">
      <c r="F584" s="29" t="str">
        <f t="shared" ca="1" si="11"/>
        <v>face</v>
      </c>
    </row>
    <row r="585" spans="6:6" x14ac:dyDescent="0.3">
      <c r="F585" s="29" t="str">
        <f t="shared" ca="1" si="11"/>
        <v>pile</v>
      </c>
    </row>
    <row r="586" spans="6:6" x14ac:dyDescent="0.3">
      <c r="F586" s="29" t="str">
        <f t="shared" ca="1" si="11"/>
        <v>face</v>
      </c>
    </row>
    <row r="587" spans="6:6" x14ac:dyDescent="0.3">
      <c r="F587" s="29" t="str">
        <f t="shared" ca="1" si="11"/>
        <v>face</v>
      </c>
    </row>
    <row r="588" spans="6:6" x14ac:dyDescent="0.3">
      <c r="F588" s="29" t="str">
        <f t="shared" ca="1" si="11"/>
        <v>pile</v>
      </c>
    </row>
    <row r="589" spans="6:6" x14ac:dyDescent="0.3">
      <c r="F589" s="29" t="str">
        <f t="shared" ca="1" si="11"/>
        <v>pile</v>
      </c>
    </row>
    <row r="590" spans="6:6" x14ac:dyDescent="0.3">
      <c r="F590" s="29" t="str">
        <f t="shared" ca="1" si="11"/>
        <v>face</v>
      </c>
    </row>
    <row r="591" spans="6:6" x14ac:dyDescent="0.3">
      <c r="F591" s="29" t="str">
        <f t="shared" ca="1" si="11"/>
        <v>face</v>
      </c>
    </row>
    <row r="592" spans="6:6" x14ac:dyDescent="0.3">
      <c r="F592" s="29" t="str">
        <f t="shared" ca="1" si="11"/>
        <v>pile</v>
      </c>
    </row>
    <row r="593" spans="6:6" x14ac:dyDescent="0.3">
      <c r="F593" s="29" t="str">
        <f t="shared" ca="1" si="11"/>
        <v>face</v>
      </c>
    </row>
    <row r="594" spans="6:6" x14ac:dyDescent="0.3">
      <c r="F594" s="29" t="str">
        <f t="shared" ca="1" si="11"/>
        <v>face</v>
      </c>
    </row>
    <row r="595" spans="6:6" x14ac:dyDescent="0.3">
      <c r="F595" s="29" t="str">
        <f t="shared" ca="1" si="11"/>
        <v>face</v>
      </c>
    </row>
    <row r="596" spans="6:6" x14ac:dyDescent="0.3">
      <c r="F596" s="29" t="str">
        <f t="shared" ca="1" si="11"/>
        <v>pile</v>
      </c>
    </row>
    <row r="597" spans="6:6" x14ac:dyDescent="0.3">
      <c r="F597" s="29" t="str">
        <f t="shared" ca="1" si="11"/>
        <v>pile</v>
      </c>
    </row>
    <row r="598" spans="6:6" x14ac:dyDescent="0.3">
      <c r="F598" s="29" t="str">
        <f t="shared" ca="1" si="11"/>
        <v>pile</v>
      </c>
    </row>
    <row r="599" spans="6:6" x14ac:dyDescent="0.3">
      <c r="F599" s="29" t="str">
        <f t="shared" ca="1" si="11"/>
        <v>pile</v>
      </c>
    </row>
    <row r="600" spans="6:6" x14ac:dyDescent="0.3">
      <c r="F600" s="29" t="str">
        <f t="shared" ca="1" si="11"/>
        <v>pile</v>
      </c>
    </row>
    <row r="601" spans="6:6" x14ac:dyDescent="0.3">
      <c r="F601" s="29" t="str">
        <f t="shared" ca="1" si="11"/>
        <v>face</v>
      </c>
    </row>
    <row r="602" spans="6:6" x14ac:dyDescent="0.3">
      <c r="F602" s="29" t="str">
        <f t="shared" ca="1" si="11"/>
        <v>pile</v>
      </c>
    </row>
    <row r="603" spans="6:6" x14ac:dyDescent="0.3">
      <c r="F603" s="29" t="str">
        <f t="shared" ca="1" si="11"/>
        <v>pile</v>
      </c>
    </row>
    <row r="604" spans="6:6" x14ac:dyDescent="0.3">
      <c r="F604" s="29" t="str">
        <f t="shared" ca="1" si="11"/>
        <v>face</v>
      </c>
    </row>
    <row r="605" spans="6:6" x14ac:dyDescent="0.3">
      <c r="F605" s="29" t="str">
        <f t="shared" ca="1" si="11"/>
        <v>face</v>
      </c>
    </row>
    <row r="606" spans="6:6" x14ac:dyDescent="0.3">
      <c r="F606" s="29" t="str">
        <f t="shared" ca="1" si="11"/>
        <v>face</v>
      </c>
    </row>
    <row r="607" spans="6:6" x14ac:dyDescent="0.3">
      <c r="F607" s="29" t="str">
        <f t="shared" ca="1" si="11"/>
        <v>face</v>
      </c>
    </row>
    <row r="608" spans="6:6" x14ac:dyDescent="0.3">
      <c r="F608" s="29" t="str">
        <f t="shared" ca="1" si="11"/>
        <v>pile</v>
      </c>
    </row>
    <row r="609" spans="6:6" x14ac:dyDescent="0.3">
      <c r="F609" s="29" t="str">
        <f t="shared" ca="1" si="11"/>
        <v>pile</v>
      </c>
    </row>
    <row r="610" spans="6:6" x14ac:dyDescent="0.3">
      <c r="F610" s="29" t="str">
        <f t="shared" ca="1" si="11"/>
        <v>face</v>
      </c>
    </row>
    <row r="611" spans="6:6" x14ac:dyDescent="0.3">
      <c r="F611" s="29" t="str">
        <f t="shared" ca="1" si="11"/>
        <v>pile</v>
      </c>
    </row>
    <row r="612" spans="6:6" x14ac:dyDescent="0.3">
      <c r="F612" s="29" t="str">
        <f t="shared" ca="1" si="11"/>
        <v>pile</v>
      </c>
    </row>
    <row r="613" spans="6:6" x14ac:dyDescent="0.3">
      <c r="F613" s="29" t="str">
        <f t="shared" ca="1" si="11"/>
        <v>pile</v>
      </c>
    </row>
    <row r="614" spans="6:6" x14ac:dyDescent="0.3">
      <c r="F614" s="29" t="str">
        <f t="shared" ca="1" si="11"/>
        <v>pile</v>
      </c>
    </row>
    <row r="615" spans="6:6" x14ac:dyDescent="0.3">
      <c r="F615" s="29" t="str">
        <f t="shared" ref="F615:F678" ca="1" si="12">IF(RAND() &lt;= 0.5, "pile", "face")</f>
        <v>pile</v>
      </c>
    </row>
    <row r="616" spans="6:6" x14ac:dyDescent="0.3">
      <c r="F616" s="29" t="str">
        <f t="shared" ca="1" si="12"/>
        <v>pile</v>
      </c>
    </row>
    <row r="617" spans="6:6" x14ac:dyDescent="0.3">
      <c r="F617" s="29" t="str">
        <f t="shared" ca="1" si="12"/>
        <v>pile</v>
      </c>
    </row>
    <row r="618" spans="6:6" x14ac:dyDescent="0.3">
      <c r="F618" s="29" t="str">
        <f t="shared" ca="1" si="12"/>
        <v>pile</v>
      </c>
    </row>
    <row r="619" spans="6:6" x14ac:dyDescent="0.3">
      <c r="F619" s="29" t="str">
        <f t="shared" ca="1" si="12"/>
        <v>pile</v>
      </c>
    </row>
    <row r="620" spans="6:6" x14ac:dyDescent="0.3">
      <c r="F620" s="29" t="str">
        <f t="shared" ca="1" si="12"/>
        <v>face</v>
      </c>
    </row>
    <row r="621" spans="6:6" x14ac:dyDescent="0.3">
      <c r="F621" s="29" t="str">
        <f t="shared" ca="1" si="12"/>
        <v>pile</v>
      </c>
    </row>
    <row r="622" spans="6:6" x14ac:dyDescent="0.3">
      <c r="F622" s="29" t="str">
        <f t="shared" ca="1" si="12"/>
        <v>pile</v>
      </c>
    </row>
    <row r="623" spans="6:6" x14ac:dyDescent="0.3">
      <c r="F623" s="29" t="str">
        <f t="shared" ca="1" si="12"/>
        <v>pile</v>
      </c>
    </row>
    <row r="624" spans="6:6" x14ac:dyDescent="0.3">
      <c r="F624" s="29" t="str">
        <f t="shared" ca="1" si="12"/>
        <v>pile</v>
      </c>
    </row>
    <row r="625" spans="6:6" x14ac:dyDescent="0.3">
      <c r="F625" s="29" t="str">
        <f t="shared" ca="1" si="12"/>
        <v>face</v>
      </c>
    </row>
    <row r="626" spans="6:6" x14ac:dyDescent="0.3">
      <c r="F626" s="29" t="str">
        <f t="shared" ca="1" si="12"/>
        <v>pile</v>
      </c>
    </row>
    <row r="627" spans="6:6" x14ac:dyDescent="0.3">
      <c r="F627" s="29" t="str">
        <f t="shared" ca="1" si="12"/>
        <v>pile</v>
      </c>
    </row>
    <row r="628" spans="6:6" x14ac:dyDescent="0.3">
      <c r="F628" s="29" t="str">
        <f t="shared" ca="1" si="12"/>
        <v>face</v>
      </c>
    </row>
    <row r="629" spans="6:6" x14ac:dyDescent="0.3">
      <c r="F629" s="29" t="str">
        <f t="shared" ca="1" si="12"/>
        <v>pile</v>
      </c>
    </row>
    <row r="630" spans="6:6" x14ac:dyDescent="0.3">
      <c r="F630" s="29" t="str">
        <f t="shared" ca="1" si="12"/>
        <v>pile</v>
      </c>
    </row>
    <row r="631" spans="6:6" x14ac:dyDescent="0.3">
      <c r="F631" s="29" t="str">
        <f t="shared" ca="1" si="12"/>
        <v>face</v>
      </c>
    </row>
    <row r="632" spans="6:6" x14ac:dyDescent="0.3">
      <c r="F632" s="29" t="str">
        <f t="shared" ca="1" si="12"/>
        <v>face</v>
      </c>
    </row>
    <row r="633" spans="6:6" x14ac:dyDescent="0.3">
      <c r="F633" s="29" t="str">
        <f t="shared" ca="1" si="12"/>
        <v>face</v>
      </c>
    </row>
    <row r="634" spans="6:6" x14ac:dyDescent="0.3">
      <c r="F634" s="29" t="str">
        <f t="shared" ca="1" si="12"/>
        <v>pile</v>
      </c>
    </row>
    <row r="635" spans="6:6" x14ac:dyDescent="0.3">
      <c r="F635" s="29" t="str">
        <f t="shared" ca="1" si="12"/>
        <v>pile</v>
      </c>
    </row>
    <row r="636" spans="6:6" x14ac:dyDescent="0.3">
      <c r="F636" s="29" t="str">
        <f t="shared" ca="1" si="12"/>
        <v>pile</v>
      </c>
    </row>
    <row r="637" spans="6:6" x14ac:dyDescent="0.3">
      <c r="F637" s="29" t="str">
        <f t="shared" ca="1" si="12"/>
        <v>face</v>
      </c>
    </row>
    <row r="638" spans="6:6" x14ac:dyDescent="0.3">
      <c r="F638" s="29" t="str">
        <f t="shared" ca="1" si="12"/>
        <v>face</v>
      </c>
    </row>
    <row r="639" spans="6:6" x14ac:dyDescent="0.3">
      <c r="F639" s="29" t="str">
        <f t="shared" ca="1" si="12"/>
        <v>face</v>
      </c>
    </row>
    <row r="640" spans="6:6" x14ac:dyDescent="0.3">
      <c r="F640" s="29" t="str">
        <f t="shared" ca="1" si="12"/>
        <v>pile</v>
      </c>
    </row>
    <row r="641" spans="6:6" x14ac:dyDescent="0.3">
      <c r="F641" s="29" t="str">
        <f t="shared" ca="1" si="12"/>
        <v>pile</v>
      </c>
    </row>
    <row r="642" spans="6:6" x14ac:dyDescent="0.3">
      <c r="F642" s="29" t="str">
        <f t="shared" ca="1" si="12"/>
        <v>face</v>
      </c>
    </row>
    <row r="643" spans="6:6" x14ac:dyDescent="0.3">
      <c r="F643" s="29" t="str">
        <f t="shared" ca="1" si="12"/>
        <v>face</v>
      </c>
    </row>
    <row r="644" spans="6:6" x14ac:dyDescent="0.3">
      <c r="F644" s="29" t="str">
        <f t="shared" ca="1" si="12"/>
        <v>face</v>
      </c>
    </row>
    <row r="645" spans="6:6" x14ac:dyDescent="0.3">
      <c r="F645" s="29" t="str">
        <f t="shared" ca="1" si="12"/>
        <v>pile</v>
      </c>
    </row>
    <row r="646" spans="6:6" x14ac:dyDescent="0.3">
      <c r="F646" s="29" t="str">
        <f t="shared" ca="1" si="12"/>
        <v>face</v>
      </c>
    </row>
    <row r="647" spans="6:6" x14ac:dyDescent="0.3">
      <c r="F647" s="29" t="str">
        <f t="shared" ca="1" si="12"/>
        <v>face</v>
      </c>
    </row>
    <row r="648" spans="6:6" x14ac:dyDescent="0.3">
      <c r="F648" s="29" t="str">
        <f t="shared" ca="1" si="12"/>
        <v>face</v>
      </c>
    </row>
    <row r="649" spans="6:6" x14ac:dyDescent="0.3">
      <c r="F649" s="29" t="str">
        <f t="shared" ca="1" si="12"/>
        <v>face</v>
      </c>
    </row>
    <row r="650" spans="6:6" x14ac:dyDescent="0.3">
      <c r="F650" s="29" t="str">
        <f t="shared" ca="1" si="12"/>
        <v>face</v>
      </c>
    </row>
    <row r="651" spans="6:6" x14ac:dyDescent="0.3">
      <c r="F651" s="29" t="str">
        <f t="shared" ca="1" si="12"/>
        <v>pile</v>
      </c>
    </row>
    <row r="652" spans="6:6" x14ac:dyDescent="0.3">
      <c r="F652" s="29" t="str">
        <f t="shared" ca="1" si="12"/>
        <v>face</v>
      </c>
    </row>
    <row r="653" spans="6:6" x14ac:dyDescent="0.3">
      <c r="F653" s="29" t="str">
        <f t="shared" ca="1" si="12"/>
        <v>pile</v>
      </c>
    </row>
    <row r="654" spans="6:6" x14ac:dyDescent="0.3">
      <c r="F654" s="29" t="str">
        <f t="shared" ca="1" si="12"/>
        <v>face</v>
      </c>
    </row>
    <row r="655" spans="6:6" x14ac:dyDescent="0.3">
      <c r="F655" s="29" t="str">
        <f t="shared" ca="1" si="12"/>
        <v>face</v>
      </c>
    </row>
    <row r="656" spans="6:6" x14ac:dyDescent="0.3">
      <c r="F656" s="29" t="str">
        <f t="shared" ca="1" si="12"/>
        <v>pile</v>
      </c>
    </row>
    <row r="657" spans="6:6" x14ac:dyDescent="0.3">
      <c r="F657" s="29" t="str">
        <f t="shared" ca="1" si="12"/>
        <v>face</v>
      </c>
    </row>
    <row r="658" spans="6:6" x14ac:dyDescent="0.3">
      <c r="F658" s="29" t="str">
        <f t="shared" ca="1" si="12"/>
        <v>face</v>
      </c>
    </row>
    <row r="659" spans="6:6" x14ac:dyDescent="0.3">
      <c r="F659" s="29" t="str">
        <f t="shared" ca="1" si="12"/>
        <v>face</v>
      </c>
    </row>
    <row r="660" spans="6:6" x14ac:dyDescent="0.3">
      <c r="F660" s="29" t="str">
        <f t="shared" ca="1" si="12"/>
        <v>face</v>
      </c>
    </row>
    <row r="661" spans="6:6" x14ac:dyDescent="0.3">
      <c r="F661" s="29" t="str">
        <f t="shared" ca="1" si="12"/>
        <v>face</v>
      </c>
    </row>
    <row r="662" spans="6:6" x14ac:dyDescent="0.3">
      <c r="F662" s="29" t="str">
        <f t="shared" ca="1" si="12"/>
        <v>pile</v>
      </c>
    </row>
    <row r="663" spans="6:6" x14ac:dyDescent="0.3">
      <c r="F663" s="29" t="str">
        <f t="shared" ca="1" si="12"/>
        <v>face</v>
      </c>
    </row>
    <row r="664" spans="6:6" x14ac:dyDescent="0.3">
      <c r="F664" s="29" t="str">
        <f t="shared" ca="1" si="12"/>
        <v>face</v>
      </c>
    </row>
    <row r="665" spans="6:6" x14ac:dyDescent="0.3">
      <c r="F665" s="29" t="str">
        <f t="shared" ca="1" si="12"/>
        <v>pile</v>
      </c>
    </row>
    <row r="666" spans="6:6" x14ac:dyDescent="0.3">
      <c r="F666" s="29" t="str">
        <f t="shared" ca="1" si="12"/>
        <v>pile</v>
      </c>
    </row>
    <row r="667" spans="6:6" x14ac:dyDescent="0.3">
      <c r="F667" s="29" t="str">
        <f t="shared" ca="1" si="12"/>
        <v>pile</v>
      </c>
    </row>
    <row r="668" spans="6:6" x14ac:dyDescent="0.3">
      <c r="F668" s="29" t="str">
        <f t="shared" ca="1" si="12"/>
        <v>face</v>
      </c>
    </row>
    <row r="669" spans="6:6" x14ac:dyDescent="0.3">
      <c r="F669" s="29" t="str">
        <f t="shared" ca="1" si="12"/>
        <v>pile</v>
      </c>
    </row>
    <row r="670" spans="6:6" x14ac:dyDescent="0.3">
      <c r="F670" s="29" t="str">
        <f t="shared" ca="1" si="12"/>
        <v>pile</v>
      </c>
    </row>
    <row r="671" spans="6:6" x14ac:dyDescent="0.3">
      <c r="F671" s="29" t="str">
        <f t="shared" ca="1" si="12"/>
        <v>face</v>
      </c>
    </row>
    <row r="672" spans="6:6" x14ac:dyDescent="0.3">
      <c r="F672" s="29" t="str">
        <f t="shared" ca="1" si="12"/>
        <v>face</v>
      </c>
    </row>
    <row r="673" spans="6:6" x14ac:dyDescent="0.3">
      <c r="F673" s="29" t="str">
        <f t="shared" ca="1" si="12"/>
        <v>face</v>
      </c>
    </row>
    <row r="674" spans="6:6" x14ac:dyDescent="0.3">
      <c r="F674" s="29" t="str">
        <f t="shared" ca="1" si="12"/>
        <v>face</v>
      </c>
    </row>
    <row r="675" spans="6:6" x14ac:dyDescent="0.3">
      <c r="F675" s="29" t="str">
        <f t="shared" ca="1" si="12"/>
        <v>pile</v>
      </c>
    </row>
    <row r="676" spans="6:6" x14ac:dyDescent="0.3">
      <c r="F676" s="29" t="str">
        <f t="shared" ca="1" si="12"/>
        <v>pile</v>
      </c>
    </row>
    <row r="677" spans="6:6" x14ac:dyDescent="0.3">
      <c r="F677" s="29" t="str">
        <f t="shared" ca="1" si="12"/>
        <v>face</v>
      </c>
    </row>
    <row r="678" spans="6:6" x14ac:dyDescent="0.3">
      <c r="F678" s="29" t="str">
        <f t="shared" ca="1" si="12"/>
        <v>face</v>
      </c>
    </row>
    <row r="679" spans="6:6" x14ac:dyDescent="0.3">
      <c r="F679" s="29" t="str">
        <f t="shared" ref="F679:F742" ca="1" si="13">IF(RAND() &lt;= 0.5, "pile", "face")</f>
        <v>face</v>
      </c>
    </row>
    <row r="680" spans="6:6" x14ac:dyDescent="0.3">
      <c r="F680" s="29" t="str">
        <f t="shared" ca="1" si="13"/>
        <v>pile</v>
      </c>
    </row>
    <row r="681" spans="6:6" x14ac:dyDescent="0.3">
      <c r="F681" s="29" t="str">
        <f t="shared" ca="1" si="13"/>
        <v>face</v>
      </c>
    </row>
    <row r="682" spans="6:6" x14ac:dyDescent="0.3">
      <c r="F682" s="29" t="str">
        <f t="shared" ca="1" si="13"/>
        <v>pile</v>
      </c>
    </row>
    <row r="683" spans="6:6" x14ac:dyDescent="0.3">
      <c r="F683" s="29" t="str">
        <f t="shared" ca="1" si="13"/>
        <v>pile</v>
      </c>
    </row>
    <row r="684" spans="6:6" x14ac:dyDescent="0.3">
      <c r="F684" s="29" t="str">
        <f t="shared" ca="1" si="13"/>
        <v>face</v>
      </c>
    </row>
    <row r="685" spans="6:6" x14ac:dyDescent="0.3">
      <c r="F685" s="29" t="str">
        <f t="shared" ca="1" si="13"/>
        <v>face</v>
      </c>
    </row>
    <row r="686" spans="6:6" x14ac:dyDescent="0.3">
      <c r="F686" s="29" t="str">
        <f t="shared" ca="1" si="13"/>
        <v>face</v>
      </c>
    </row>
    <row r="687" spans="6:6" x14ac:dyDescent="0.3">
      <c r="F687" s="29" t="str">
        <f t="shared" ca="1" si="13"/>
        <v>face</v>
      </c>
    </row>
    <row r="688" spans="6:6" x14ac:dyDescent="0.3">
      <c r="F688" s="29" t="str">
        <f t="shared" ca="1" si="13"/>
        <v>face</v>
      </c>
    </row>
    <row r="689" spans="6:6" x14ac:dyDescent="0.3">
      <c r="F689" s="29" t="str">
        <f t="shared" ca="1" si="13"/>
        <v>pile</v>
      </c>
    </row>
    <row r="690" spans="6:6" x14ac:dyDescent="0.3">
      <c r="F690" s="29" t="str">
        <f t="shared" ca="1" si="13"/>
        <v>pile</v>
      </c>
    </row>
    <row r="691" spans="6:6" x14ac:dyDescent="0.3">
      <c r="F691" s="29" t="str">
        <f t="shared" ca="1" si="13"/>
        <v>pile</v>
      </c>
    </row>
    <row r="692" spans="6:6" x14ac:dyDescent="0.3">
      <c r="F692" s="29" t="str">
        <f t="shared" ca="1" si="13"/>
        <v>pile</v>
      </c>
    </row>
    <row r="693" spans="6:6" x14ac:dyDescent="0.3">
      <c r="F693" s="29" t="str">
        <f t="shared" ca="1" si="13"/>
        <v>face</v>
      </c>
    </row>
    <row r="694" spans="6:6" x14ac:dyDescent="0.3">
      <c r="F694" s="29" t="str">
        <f t="shared" ca="1" si="13"/>
        <v>pile</v>
      </c>
    </row>
    <row r="695" spans="6:6" x14ac:dyDescent="0.3">
      <c r="F695" s="29" t="str">
        <f t="shared" ca="1" si="13"/>
        <v>pile</v>
      </c>
    </row>
    <row r="696" spans="6:6" x14ac:dyDescent="0.3">
      <c r="F696" s="29" t="str">
        <f t="shared" ca="1" si="13"/>
        <v>face</v>
      </c>
    </row>
    <row r="697" spans="6:6" x14ac:dyDescent="0.3">
      <c r="F697" s="29" t="str">
        <f t="shared" ca="1" si="13"/>
        <v>pile</v>
      </c>
    </row>
    <row r="698" spans="6:6" x14ac:dyDescent="0.3">
      <c r="F698" s="29" t="str">
        <f t="shared" ca="1" si="13"/>
        <v>face</v>
      </c>
    </row>
    <row r="699" spans="6:6" x14ac:dyDescent="0.3">
      <c r="F699" s="29" t="str">
        <f t="shared" ca="1" si="13"/>
        <v>pile</v>
      </c>
    </row>
    <row r="700" spans="6:6" x14ac:dyDescent="0.3">
      <c r="F700" s="29" t="str">
        <f t="shared" ca="1" si="13"/>
        <v>face</v>
      </c>
    </row>
    <row r="701" spans="6:6" x14ac:dyDescent="0.3">
      <c r="F701" s="29" t="str">
        <f t="shared" ca="1" si="13"/>
        <v>face</v>
      </c>
    </row>
    <row r="702" spans="6:6" x14ac:dyDescent="0.3">
      <c r="F702" s="29" t="str">
        <f t="shared" ca="1" si="13"/>
        <v>pile</v>
      </c>
    </row>
    <row r="703" spans="6:6" x14ac:dyDescent="0.3">
      <c r="F703" s="29" t="str">
        <f t="shared" ca="1" si="13"/>
        <v>face</v>
      </c>
    </row>
    <row r="704" spans="6:6" x14ac:dyDescent="0.3">
      <c r="F704" s="29" t="str">
        <f t="shared" ca="1" si="13"/>
        <v>pile</v>
      </c>
    </row>
    <row r="705" spans="6:6" x14ac:dyDescent="0.3">
      <c r="F705" s="29" t="str">
        <f t="shared" ca="1" si="13"/>
        <v>face</v>
      </c>
    </row>
    <row r="706" spans="6:6" x14ac:dyDescent="0.3">
      <c r="F706" s="29" t="str">
        <f t="shared" ca="1" si="13"/>
        <v>face</v>
      </c>
    </row>
    <row r="707" spans="6:6" x14ac:dyDescent="0.3">
      <c r="F707" s="29" t="str">
        <f t="shared" ca="1" si="13"/>
        <v>face</v>
      </c>
    </row>
    <row r="708" spans="6:6" x14ac:dyDescent="0.3">
      <c r="F708" s="29" t="str">
        <f t="shared" ca="1" si="13"/>
        <v>face</v>
      </c>
    </row>
    <row r="709" spans="6:6" x14ac:dyDescent="0.3">
      <c r="F709" s="29" t="str">
        <f t="shared" ca="1" si="13"/>
        <v>pile</v>
      </c>
    </row>
    <row r="710" spans="6:6" x14ac:dyDescent="0.3">
      <c r="F710" s="29" t="str">
        <f t="shared" ca="1" si="13"/>
        <v>pile</v>
      </c>
    </row>
    <row r="711" spans="6:6" x14ac:dyDescent="0.3">
      <c r="F711" s="29" t="str">
        <f t="shared" ca="1" si="13"/>
        <v>pile</v>
      </c>
    </row>
    <row r="712" spans="6:6" x14ac:dyDescent="0.3">
      <c r="F712" s="29" t="str">
        <f t="shared" ca="1" si="13"/>
        <v>face</v>
      </c>
    </row>
    <row r="713" spans="6:6" x14ac:dyDescent="0.3">
      <c r="F713" s="29" t="str">
        <f t="shared" ca="1" si="13"/>
        <v>face</v>
      </c>
    </row>
    <row r="714" spans="6:6" x14ac:dyDescent="0.3">
      <c r="F714" s="29" t="str">
        <f t="shared" ca="1" si="13"/>
        <v>face</v>
      </c>
    </row>
    <row r="715" spans="6:6" x14ac:dyDescent="0.3">
      <c r="F715" s="29" t="str">
        <f t="shared" ca="1" si="13"/>
        <v>face</v>
      </c>
    </row>
    <row r="716" spans="6:6" x14ac:dyDescent="0.3">
      <c r="F716" s="29" t="str">
        <f t="shared" ca="1" si="13"/>
        <v>face</v>
      </c>
    </row>
    <row r="717" spans="6:6" x14ac:dyDescent="0.3">
      <c r="F717" s="29" t="str">
        <f t="shared" ca="1" si="13"/>
        <v>pile</v>
      </c>
    </row>
    <row r="718" spans="6:6" x14ac:dyDescent="0.3">
      <c r="F718" s="29" t="str">
        <f t="shared" ca="1" si="13"/>
        <v>face</v>
      </c>
    </row>
    <row r="719" spans="6:6" x14ac:dyDescent="0.3">
      <c r="F719" s="29" t="str">
        <f t="shared" ca="1" si="13"/>
        <v>pile</v>
      </c>
    </row>
    <row r="720" spans="6:6" x14ac:dyDescent="0.3">
      <c r="F720" s="29" t="str">
        <f t="shared" ca="1" si="13"/>
        <v>face</v>
      </c>
    </row>
    <row r="721" spans="6:6" x14ac:dyDescent="0.3">
      <c r="F721" s="29" t="str">
        <f t="shared" ca="1" si="13"/>
        <v>face</v>
      </c>
    </row>
    <row r="722" spans="6:6" x14ac:dyDescent="0.3">
      <c r="F722" s="29" t="str">
        <f t="shared" ca="1" si="13"/>
        <v>face</v>
      </c>
    </row>
    <row r="723" spans="6:6" x14ac:dyDescent="0.3">
      <c r="F723" s="29" t="str">
        <f t="shared" ca="1" si="13"/>
        <v>pile</v>
      </c>
    </row>
    <row r="724" spans="6:6" x14ac:dyDescent="0.3">
      <c r="F724" s="29" t="str">
        <f t="shared" ca="1" si="13"/>
        <v>pile</v>
      </c>
    </row>
    <row r="725" spans="6:6" x14ac:dyDescent="0.3">
      <c r="F725" s="29" t="str">
        <f t="shared" ca="1" si="13"/>
        <v>pile</v>
      </c>
    </row>
    <row r="726" spans="6:6" x14ac:dyDescent="0.3">
      <c r="F726" s="29" t="str">
        <f t="shared" ca="1" si="13"/>
        <v>face</v>
      </c>
    </row>
    <row r="727" spans="6:6" x14ac:dyDescent="0.3">
      <c r="F727" s="29" t="str">
        <f t="shared" ca="1" si="13"/>
        <v>face</v>
      </c>
    </row>
    <row r="728" spans="6:6" x14ac:dyDescent="0.3">
      <c r="F728" s="29" t="str">
        <f t="shared" ca="1" si="13"/>
        <v>pile</v>
      </c>
    </row>
    <row r="729" spans="6:6" x14ac:dyDescent="0.3">
      <c r="F729" s="29" t="str">
        <f t="shared" ca="1" si="13"/>
        <v>face</v>
      </c>
    </row>
    <row r="730" spans="6:6" x14ac:dyDescent="0.3">
      <c r="F730" s="29" t="str">
        <f t="shared" ca="1" si="13"/>
        <v>face</v>
      </c>
    </row>
    <row r="731" spans="6:6" x14ac:dyDescent="0.3">
      <c r="F731" s="29" t="str">
        <f t="shared" ca="1" si="13"/>
        <v>pile</v>
      </c>
    </row>
    <row r="732" spans="6:6" x14ac:dyDescent="0.3">
      <c r="F732" s="29" t="str">
        <f t="shared" ca="1" si="13"/>
        <v>face</v>
      </c>
    </row>
    <row r="733" spans="6:6" x14ac:dyDescent="0.3">
      <c r="F733" s="29" t="str">
        <f t="shared" ca="1" si="13"/>
        <v>pile</v>
      </c>
    </row>
    <row r="734" spans="6:6" x14ac:dyDescent="0.3">
      <c r="F734" s="29" t="str">
        <f t="shared" ca="1" si="13"/>
        <v>face</v>
      </c>
    </row>
    <row r="735" spans="6:6" x14ac:dyDescent="0.3">
      <c r="F735" s="29" t="str">
        <f t="shared" ca="1" si="13"/>
        <v>pile</v>
      </c>
    </row>
    <row r="736" spans="6:6" x14ac:dyDescent="0.3">
      <c r="F736" s="29" t="str">
        <f t="shared" ca="1" si="13"/>
        <v>pile</v>
      </c>
    </row>
    <row r="737" spans="6:6" x14ac:dyDescent="0.3">
      <c r="F737" s="29" t="str">
        <f t="shared" ca="1" si="13"/>
        <v>pile</v>
      </c>
    </row>
    <row r="738" spans="6:6" x14ac:dyDescent="0.3">
      <c r="F738" s="29" t="str">
        <f t="shared" ca="1" si="13"/>
        <v>face</v>
      </c>
    </row>
    <row r="739" spans="6:6" x14ac:dyDescent="0.3">
      <c r="F739" s="29" t="str">
        <f t="shared" ca="1" si="13"/>
        <v>pile</v>
      </c>
    </row>
    <row r="740" spans="6:6" x14ac:dyDescent="0.3">
      <c r="F740" s="29" t="str">
        <f t="shared" ca="1" si="13"/>
        <v>face</v>
      </c>
    </row>
    <row r="741" spans="6:6" x14ac:dyDescent="0.3">
      <c r="F741" s="29" t="str">
        <f t="shared" ca="1" si="13"/>
        <v>pile</v>
      </c>
    </row>
    <row r="742" spans="6:6" x14ac:dyDescent="0.3">
      <c r="F742" s="29" t="str">
        <f t="shared" ca="1" si="13"/>
        <v>face</v>
      </c>
    </row>
    <row r="743" spans="6:6" x14ac:dyDescent="0.3">
      <c r="F743" s="29" t="str">
        <f t="shared" ref="F743:F806" ca="1" si="14">IF(RAND() &lt;= 0.5, "pile", "face")</f>
        <v>face</v>
      </c>
    </row>
    <row r="744" spans="6:6" x14ac:dyDescent="0.3">
      <c r="F744" s="29" t="str">
        <f t="shared" ca="1" si="14"/>
        <v>pile</v>
      </c>
    </row>
    <row r="745" spans="6:6" x14ac:dyDescent="0.3">
      <c r="F745" s="29" t="str">
        <f t="shared" ca="1" si="14"/>
        <v>pile</v>
      </c>
    </row>
    <row r="746" spans="6:6" x14ac:dyDescent="0.3">
      <c r="F746" s="29" t="str">
        <f t="shared" ca="1" si="14"/>
        <v>pile</v>
      </c>
    </row>
    <row r="747" spans="6:6" x14ac:dyDescent="0.3">
      <c r="F747" s="29" t="str">
        <f t="shared" ca="1" si="14"/>
        <v>face</v>
      </c>
    </row>
    <row r="748" spans="6:6" x14ac:dyDescent="0.3">
      <c r="F748" s="29" t="str">
        <f t="shared" ca="1" si="14"/>
        <v>pile</v>
      </c>
    </row>
    <row r="749" spans="6:6" x14ac:dyDescent="0.3">
      <c r="F749" s="29" t="str">
        <f t="shared" ca="1" si="14"/>
        <v>pile</v>
      </c>
    </row>
    <row r="750" spans="6:6" x14ac:dyDescent="0.3">
      <c r="F750" s="29" t="str">
        <f t="shared" ca="1" si="14"/>
        <v>pile</v>
      </c>
    </row>
    <row r="751" spans="6:6" x14ac:dyDescent="0.3">
      <c r="F751" s="29" t="str">
        <f t="shared" ca="1" si="14"/>
        <v>face</v>
      </c>
    </row>
    <row r="752" spans="6:6" x14ac:dyDescent="0.3">
      <c r="F752" s="29" t="str">
        <f t="shared" ca="1" si="14"/>
        <v>pile</v>
      </c>
    </row>
    <row r="753" spans="6:6" x14ac:dyDescent="0.3">
      <c r="F753" s="29" t="str">
        <f t="shared" ca="1" si="14"/>
        <v>pile</v>
      </c>
    </row>
    <row r="754" spans="6:6" x14ac:dyDescent="0.3">
      <c r="F754" s="29" t="str">
        <f t="shared" ca="1" si="14"/>
        <v>pile</v>
      </c>
    </row>
    <row r="755" spans="6:6" x14ac:dyDescent="0.3">
      <c r="F755" s="29" t="str">
        <f t="shared" ca="1" si="14"/>
        <v>pile</v>
      </c>
    </row>
    <row r="756" spans="6:6" x14ac:dyDescent="0.3">
      <c r="F756" s="29" t="str">
        <f t="shared" ca="1" si="14"/>
        <v>face</v>
      </c>
    </row>
    <row r="757" spans="6:6" x14ac:dyDescent="0.3">
      <c r="F757" s="29" t="str">
        <f t="shared" ca="1" si="14"/>
        <v>face</v>
      </c>
    </row>
    <row r="758" spans="6:6" x14ac:dyDescent="0.3">
      <c r="F758" s="29" t="str">
        <f t="shared" ca="1" si="14"/>
        <v>face</v>
      </c>
    </row>
    <row r="759" spans="6:6" x14ac:dyDescent="0.3">
      <c r="F759" s="29" t="str">
        <f t="shared" ca="1" si="14"/>
        <v>pile</v>
      </c>
    </row>
    <row r="760" spans="6:6" x14ac:dyDescent="0.3">
      <c r="F760" s="29" t="str">
        <f t="shared" ca="1" si="14"/>
        <v>face</v>
      </c>
    </row>
    <row r="761" spans="6:6" x14ac:dyDescent="0.3">
      <c r="F761" s="29" t="str">
        <f t="shared" ca="1" si="14"/>
        <v>face</v>
      </c>
    </row>
    <row r="762" spans="6:6" x14ac:dyDescent="0.3">
      <c r="F762" s="29" t="str">
        <f t="shared" ca="1" si="14"/>
        <v>face</v>
      </c>
    </row>
    <row r="763" spans="6:6" x14ac:dyDescent="0.3">
      <c r="F763" s="29" t="str">
        <f t="shared" ca="1" si="14"/>
        <v>face</v>
      </c>
    </row>
    <row r="764" spans="6:6" x14ac:dyDescent="0.3">
      <c r="F764" s="29" t="str">
        <f t="shared" ca="1" si="14"/>
        <v>pile</v>
      </c>
    </row>
    <row r="765" spans="6:6" x14ac:dyDescent="0.3">
      <c r="F765" s="29" t="str">
        <f t="shared" ca="1" si="14"/>
        <v>face</v>
      </c>
    </row>
    <row r="766" spans="6:6" x14ac:dyDescent="0.3">
      <c r="F766" s="29" t="str">
        <f t="shared" ca="1" si="14"/>
        <v>face</v>
      </c>
    </row>
    <row r="767" spans="6:6" x14ac:dyDescent="0.3">
      <c r="F767" s="29" t="str">
        <f t="shared" ca="1" si="14"/>
        <v>pile</v>
      </c>
    </row>
    <row r="768" spans="6:6" x14ac:dyDescent="0.3">
      <c r="F768" s="29" t="str">
        <f t="shared" ca="1" si="14"/>
        <v>pile</v>
      </c>
    </row>
    <row r="769" spans="6:6" x14ac:dyDescent="0.3">
      <c r="F769" s="29" t="str">
        <f t="shared" ca="1" si="14"/>
        <v>face</v>
      </c>
    </row>
    <row r="770" spans="6:6" x14ac:dyDescent="0.3">
      <c r="F770" s="29" t="str">
        <f t="shared" ca="1" si="14"/>
        <v>pile</v>
      </c>
    </row>
    <row r="771" spans="6:6" x14ac:dyDescent="0.3">
      <c r="F771" s="29" t="str">
        <f t="shared" ca="1" si="14"/>
        <v>pile</v>
      </c>
    </row>
    <row r="772" spans="6:6" x14ac:dyDescent="0.3">
      <c r="F772" s="29" t="str">
        <f t="shared" ca="1" si="14"/>
        <v>pile</v>
      </c>
    </row>
    <row r="773" spans="6:6" x14ac:dyDescent="0.3">
      <c r="F773" s="29" t="str">
        <f t="shared" ca="1" si="14"/>
        <v>face</v>
      </c>
    </row>
    <row r="774" spans="6:6" x14ac:dyDescent="0.3">
      <c r="F774" s="29" t="str">
        <f t="shared" ca="1" si="14"/>
        <v>pile</v>
      </c>
    </row>
    <row r="775" spans="6:6" x14ac:dyDescent="0.3">
      <c r="F775" s="29" t="str">
        <f t="shared" ca="1" si="14"/>
        <v>face</v>
      </c>
    </row>
    <row r="776" spans="6:6" x14ac:dyDescent="0.3">
      <c r="F776" s="29" t="str">
        <f t="shared" ca="1" si="14"/>
        <v>pile</v>
      </c>
    </row>
    <row r="777" spans="6:6" x14ac:dyDescent="0.3">
      <c r="F777" s="29" t="str">
        <f t="shared" ca="1" si="14"/>
        <v>pile</v>
      </c>
    </row>
    <row r="778" spans="6:6" x14ac:dyDescent="0.3">
      <c r="F778" s="29" t="str">
        <f t="shared" ca="1" si="14"/>
        <v>face</v>
      </c>
    </row>
    <row r="779" spans="6:6" x14ac:dyDescent="0.3">
      <c r="F779" s="29" t="str">
        <f t="shared" ca="1" si="14"/>
        <v>face</v>
      </c>
    </row>
    <row r="780" spans="6:6" x14ac:dyDescent="0.3">
      <c r="F780" s="29" t="str">
        <f t="shared" ca="1" si="14"/>
        <v>face</v>
      </c>
    </row>
    <row r="781" spans="6:6" x14ac:dyDescent="0.3">
      <c r="F781" s="29" t="str">
        <f t="shared" ca="1" si="14"/>
        <v>pile</v>
      </c>
    </row>
    <row r="782" spans="6:6" x14ac:dyDescent="0.3">
      <c r="F782" s="29" t="str">
        <f t="shared" ca="1" si="14"/>
        <v>pile</v>
      </c>
    </row>
    <row r="783" spans="6:6" x14ac:dyDescent="0.3">
      <c r="F783" s="29" t="str">
        <f t="shared" ca="1" si="14"/>
        <v>pile</v>
      </c>
    </row>
    <row r="784" spans="6:6" x14ac:dyDescent="0.3">
      <c r="F784" s="29" t="str">
        <f t="shared" ca="1" si="14"/>
        <v>face</v>
      </c>
    </row>
    <row r="785" spans="6:6" x14ac:dyDescent="0.3">
      <c r="F785" s="29" t="str">
        <f t="shared" ca="1" si="14"/>
        <v>face</v>
      </c>
    </row>
    <row r="786" spans="6:6" x14ac:dyDescent="0.3">
      <c r="F786" s="29" t="str">
        <f t="shared" ca="1" si="14"/>
        <v>face</v>
      </c>
    </row>
    <row r="787" spans="6:6" x14ac:dyDescent="0.3">
      <c r="F787" s="29" t="str">
        <f t="shared" ca="1" si="14"/>
        <v>pile</v>
      </c>
    </row>
    <row r="788" spans="6:6" x14ac:dyDescent="0.3">
      <c r="F788" s="29" t="str">
        <f t="shared" ca="1" si="14"/>
        <v>pile</v>
      </c>
    </row>
    <row r="789" spans="6:6" x14ac:dyDescent="0.3">
      <c r="F789" s="29" t="str">
        <f t="shared" ca="1" si="14"/>
        <v>face</v>
      </c>
    </row>
    <row r="790" spans="6:6" x14ac:dyDescent="0.3">
      <c r="F790" s="29" t="str">
        <f t="shared" ca="1" si="14"/>
        <v>pile</v>
      </c>
    </row>
    <row r="791" spans="6:6" x14ac:dyDescent="0.3">
      <c r="F791" s="29" t="str">
        <f t="shared" ca="1" si="14"/>
        <v>pile</v>
      </c>
    </row>
    <row r="792" spans="6:6" x14ac:dyDescent="0.3">
      <c r="F792" s="29" t="str">
        <f t="shared" ca="1" si="14"/>
        <v>face</v>
      </c>
    </row>
    <row r="793" spans="6:6" x14ac:dyDescent="0.3">
      <c r="F793" s="29" t="str">
        <f t="shared" ca="1" si="14"/>
        <v>face</v>
      </c>
    </row>
    <row r="794" spans="6:6" x14ac:dyDescent="0.3">
      <c r="F794" s="29" t="str">
        <f t="shared" ca="1" si="14"/>
        <v>face</v>
      </c>
    </row>
    <row r="795" spans="6:6" x14ac:dyDescent="0.3">
      <c r="F795" s="29" t="str">
        <f t="shared" ca="1" si="14"/>
        <v>face</v>
      </c>
    </row>
    <row r="796" spans="6:6" x14ac:dyDescent="0.3">
      <c r="F796" s="29" t="str">
        <f t="shared" ca="1" si="14"/>
        <v>pile</v>
      </c>
    </row>
    <row r="797" spans="6:6" x14ac:dyDescent="0.3">
      <c r="F797" s="29" t="str">
        <f t="shared" ca="1" si="14"/>
        <v>pile</v>
      </c>
    </row>
    <row r="798" spans="6:6" x14ac:dyDescent="0.3">
      <c r="F798" s="29" t="str">
        <f t="shared" ca="1" si="14"/>
        <v>face</v>
      </c>
    </row>
    <row r="799" spans="6:6" x14ac:dyDescent="0.3">
      <c r="F799" s="29" t="str">
        <f t="shared" ca="1" si="14"/>
        <v>pile</v>
      </c>
    </row>
    <row r="800" spans="6:6" x14ac:dyDescent="0.3">
      <c r="F800" s="29" t="str">
        <f t="shared" ca="1" si="14"/>
        <v>face</v>
      </c>
    </row>
    <row r="801" spans="6:6" x14ac:dyDescent="0.3">
      <c r="F801" s="29" t="str">
        <f t="shared" ca="1" si="14"/>
        <v>face</v>
      </c>
    </row>
    <row r="802" spans="6:6" x14ac:dyDescent="0.3">
      <c r="F802" s="29" t="str">
        <f t="shared" ca="1" si="14"/>
        <v>pile</v>
      </c>
    </row>
    <row r="803" spans="6:6" x14ac:dyDescent="0.3">
      <c r="F803" s="29" t="str">
        <f t="shared" ca="1" si="14"/>
        <v>pile</v>
      </c>
    </row>
    <row r="804" spans="6:6" x14ac:dyDescent="0.3">
      <c r="F804" s="29" t="str">
        <f t="shared" ca="1" si="14"/>
        <v>pile</v>
      </c>
    </row>
    <row r="805" spans="6:6" x14ac:dyDescent="0.3">
      <c r="F805" s="29" t="str">
        <f t="shared" ca="1" si="14"/>
        <v>face</v>
      </c>
    </row>
    <row r="806" spans="6:6" x14ac:dyDescent="0.3">
      <c r="F806" s="29" t="str">
        <f t="shared" ca="1" si="14"/>
        <v>pile</v>
      </c>
    </row>
    <row r="807" spans="6:6" x14ac:dyDescent="0.3">
      <c r="F807" s="29" t="str">
        <f t="shared" ref="F807:F870" ca="1" si="15">IF(RAND() &lt;= 0.5, "pile", "face")</f>
        <v>face</v>
      </c>
    </row>
    <row r="808" spans="6:6" x14ac:dyDescent="0.3">
      <c r="F808" s="29" t="str">
        <f t="shared" ca="1" si="15"/>
        <v>pile</v>
      </c>
    </row>
    <row r="809" spans="6:6" x14ac:dyDescent="0.3">
      <c r="F809" s="29" t="str">
        <f t="shared" ca="1" si="15"/>
        <v>face</v>
      </c>
    </row>
    <row r="810" spans="6:6" x14ac:dyDescent="0.3">
      <c r="F810" s="29" t="str">
        <f t="shared" ca="1" si="15"/>
        <v>face</v>
      </c>
    </row>
    <row r="811" spans="6:6" x14ac:dyDescent="0.3">
      <c r="F811" s="29" t="str">
        <f t="shared" ca="1" si="15"/>
        <v>pile</v>
      </c>
    </row>
    <row r="812" spans="6:6" x14ac:dyDescent="0.3">
      <c r="F812" s="29" t="str">
        <f t="shared" ca="1" si="15"/>
        <v>pile</v>
      </c>
    </row>
    <row r="813" spans="6:6" x14ac:dyDescent="0.3">
      <c r="F813" s="29" t="str">
        <f t="shared" ca="1" si="15"/>
        <v>face</v>
      </c>
    </row>
    <row r="814" spans="6:6" x14ac:dyDescent="0.3">
      <c r="F814" s="29" t="str">
        <f t="shared" ca="1" si="15"/>
        <v>face</v>
      </c>
    </row>
    <row r="815" spans="6:6" x14ac:dyDescent="0.3">
      <c r="F815" s="29" t="str">
        <f t="shared" ca="1" si="15"/>
        <v>pile</v>
      </c>
    </row>
    <row r="816" spans="6:6" x14ac:dyDescent="0.3">
      <c r="F816" s="29" t="str">
        <f t="shared" ca="1" si="15"/>
        <v>pile</v>
      </c>
    </row>
    <row r="817" spans="6:6" x14ac:dyDescent="0.3">
      <c r="F817" s="29" t="str">
        <f t="shared" ca="1" si="15"/>
        <v>face</v>
      </c>
    </row>
    <row r="818" spans="6:6" x14ac:dyDescent="0.3">
      <c r="F818" s="29" t="str">
        <f t="shared" ca="1" si="15"/>
        <v>face</v>
      </c>
    </row>
    <row r="819" spans="6:6" x14ac:dyDescent="0.3">
      <c r="F819" s="29" t="str">
        <f t="shared" ca="1" si="15"/>
        <v>face</v>
      </c>
    </row>
    <row r="820" spans="6:6" x14ac:dyDescent="0.3">
      <c r="F820" s="29" t="str">
        <f t="shared" ca="1" si="15"/>
        <v>pile</v>
      </c>
    </row>
    <row r="821" spans="6:6" x14ac:dyDescent="0.3">
      <c r="F821" s="29" t="str">
        <f t="shared" ca="1" si="15"/>
        <v>pile</v>
      </c>
    </row>
    <row r="822" spans="6:6" x14ac:dyDescent="0.3">
      <c r="F822" s="29" t="str">
        <f t="shared" ca="1" si="15"/>
        <v>pile</v>
      </c>
    </row>
    <row r="823" spans="6:6" x14ac:dyDescent="0.3">
      <c r="F823" s="29" t="str">
        <f t="shared" ca="1" si="15"/>
        <v>face</v>
      </c>
    </row>
    <row r="824" spans="6:6" x14ac:dyDescent="0.3">
      <c r="F824" s="29" t="str">
        <f t="shared" ca="1" si="15"/>
        <v>pile</v>
      </c>
    </row>
    <row r="825" spans="6:6" x14ac:dyDescent="0.3">
      <c r="F825" s="29" t="str">
        <f t="shared" ca="1" si="15"/>
        <v>pile</v>
      </c>
    </row>
    <row r="826" spans="6:6" x14ac:dyDescent="0.3">
      <c r="F826" s="29" t="str">
        <f t="shared" ca="1" si="15"/>
        <v>face</v>
      </c>
    </row>
    <row r="827" spans="6:6" x14ac:dyDescent="0.3">
      <c r="F827" s="29" t="str">
        <f t="shared" ca="1" si="15"/>
        <v>pile</v>
      </c>
    </row>
    <row r="828" spans="6:6" x14ac:dyDescent="0.3">
      <c r="F828" s="29" t="str">
        <f t="shared" ca="1" si="15"/>
        <v>face</v>
      </c>
    </row>
    <row r="829" spans="6:6" x14ac:dyDescent="0.3">
      <c r="F829" s="29" t="str">
        <f t="shared" ca="1" si="15"/>
        <v>pile</v>
      </c>
    </row>
    <row r="830" spans="6:6" x14ac:dyDescent="0.3">
      <c r="F830" s="29" t="str">
        <f t="shared" ca="1" si="15"/>
        <v>face</v>
      </c>
    </row>
    <row r="831" spans="6:6" x14ac:dyDescent="0.3">
      <c r="F831" s="29" t="str">
        <f t="shared" ca="1" si="15"/>
        <v>pile</v>
      </c>
    </row>
    <row r="832" spans="6:6" x14ac:dyDescent="0.3">
      <c r="F832" s="29" t="str">
        <f t="shared" ca="1" si="15"/>
        <v>pile</v>
      </c>
    </row>
    <row r="833" spans="6:6" x14ac:dyDescent="0.3">
      <c r="F833" s="29" t="str">
        <f t="shared" ca="1" si="15"/>
        <v>pile</v>
      </c>
    </row>
    <row r="834" spans="6:6" x14ac:dyDescent="0.3">
      <c r="F834" s="29" t="str">
        <f t="shared" ca="1" si="15"/>
        <v>face</v>
      </c>
    </row>
    <row r="835" spans="6:6" x14ac:dyDescent="0.3">
      <c r="F835" s="29" t="str">
        <f t="shared" ca="1" si="15"/>
        <v>face</v>
      </c>
    </row>
    <row r="836" spans="6:6" x14ac:dyDescent="0.3">
      <c r="F836" s="29" t="str">
        <f t="shared" ca="1" si="15"/>
        <v>face</v>
      </c>
    </row>
    <row r="837" spans="6:6" x14ac:dyDescent="0.3">
      <c r="F837" s="29" t="str">
        <f t="shared" ca="1" si="15"/>
        <v>pile</v>
      </c>
    </row>
    <row r="838" spans="6:6" x14ac:dyDescent="0.3">
      <c r="F838" s="29" t="str">
        <f t="shared" ca="1" si="15"/>
        <v>pile</v>
      </c>
    </row>
    <row r="839" spans="6:6" x14ac:dyDescent="0.3">
      <c r="F839" s="29" t="str">
        <f t="shared" ca="1" si="15"/>
        <v>pile</v>
      </c>
    </row>
    <row r="840" spans="6:6" x14ac:dyDescent="0.3">
      <c r="F840" s="29" t="str">
        <f t="shared" ca="1" si="15"/>
        <v>pile</v>
      </c>
    </row>
    <row r="841" spans="6:6" x14ac:dyDescent="0.3">
      <c r="F841" s="29" t="str">
        <f t="shared" ca="1" si="15"/>
        <v>pile</v>
      </c>
    </row>
    <row r="842" spans="6:6" x14ac:dyDescent="0.3">
      <c r="F842" s="29" t="str">
        <f t="shared" ca="1" si="15"/>
        <v>pile</v>
      </c>
    </row>
    <row r="843" spans="6:6" x14ac:dyDescent="0.3">
      <c r="F843" s="29" t="str">
        <f t="shared" ca="1" si="15"/>
        <v>face</v>
      </c>
    </row>
    <row r="844" spans="6:6" x14ac:dyDescent="0.3">
      <c r="F844" s="29" t="str">
        <f t="shared" ca="1" si="15"/>
        <v>face</v>
      </c>
    </row>
    <row r="845" spans="6:6" x14ac:dyDescent="0.3">
      <c r="F845" s="29" t="str">
        <f t="shared" ca="1" si="15"/>
        <v>face</v>
      </c>
    </row>
    <row r="846" spans="6:6" x14ac:dyDescent="0.3">
      <c r="F846" s="29" t="str">
        <f t="shared" ca="1" si="15"/>
        <v>face</v>
      </c>
    </row>
    <row r="847" spans="6:6" x14ac:dyDescent="0.3">
      <c r="F847" s="29" t="str">
        <f t="shared" ca="1" si="15"/>
        <v>pile</v>
      </c>
    </row>
    <row r="848" spans="6:6" x14ac:dyDescent="0.3">
      <c r="F848" s="29" t="str">
        <f t="shared" ca="1" si="15"/>
        <v>pile</v>
      </c>
    </row>
    <row r="849" spans="6:6" x14ac:dyDescent="0.3">
      <c r="F849" s="29" t="str">
        <f t="shared" ca="1" si="15"/>
        <v>pile</v>
      </c>
    </row>
    <row r="850" spans="6:6" x14ac:dyDescent="0.3">
      <c r="F850" s="29" t="str">
        <f t="shared" ca="1" si="15"/>
        <v>pile</v>
      </c>
    </row>
    <row r="851" spans="6:6" x14ac:dyDescent="0.3">
      <c r="F851" s="29" t="str">
        <f t="shared" ca="1" si="15"/>
        <v>pile</v>
      </c>
    </row>
    <row r="852" spans="6:6" x14ac:dyDescent="0.3">
      <c r="F852" s="29" t="str">
        <f t="shared" ca="1" si="15"/>
        <v>pile</v>
      </c>
    </row>
    <row r="853" spans="6:6" x14ac:dyDescent="0.3">
      <c r="F853" s="29" t="str">
        <f t="shared" ca="1" si="15"/>
        <v>pile</v>
      </c>
    </row>
    <row r="854" spans="6:6" x14ac:dyDescent="0.3">
      <c r="F854" s="29" t="str">
        <f t="shared" ca="1" si="15"/>
        <v>face</v>
      </c>
    </row>
    <row r="855" spans="6:6" x14ac:dyDescent="0.3">
      <c r="F855" s="29" t="str">
        <f t="shared" ca="1" si="15"/>
        <v>face</v>
      </c>
    </row>
    <row r="856" spans="6:6" x14ac:dyDescent="0.3">
      <c r="F856" s="29" t="str">
        <f t="shared" ca="1" si="15"/>
        <v>pile</v>
      </c>
    </row>
    <row r="857" spans="6:6" x14ac:dyDescent="0.3">
      <c r="F857" s="29" t="str">
        <f t="shared" ca="1" si="15"/>
        <v>pile</v>
      </c>
    </row>
    <row r="858" spans="6:6" x14ac:dyDescent="0.3">
      <c r="F858" s="29" t="str">
        <f t="shared" ca="1" si="15"/>
        <v>face</v>
      </c>
    </row>
    <row r="859" spans="6:6" x14ac:dyDescent="0.3">
      <c r="F859" s="29" t="str">
        <f t="shared" ca="1" si="15"/>
        <v>face</v>
      </c>
    </row>
    <row r="860" spans="6:6" x14ac:dyDescent="0.3">
      <c r="F860" s="29" t="str">
        <f t="shared" ca="1" si="15"/>
        <v>pile</v>
      </c>
    </row>
    <row r="861" spans="6:6" x14ac:dyDescent="0.3">
      <c r="F861" s="29" t="str">
        <f t="shared" ca="1" si="15"/>
        <v>pile</v>
      </c>
    </row>
    <row r="862" spans="6:6" x14ac:dyDescent="0.3">
      <c r="F862" s="29" t="str">
        <f t="shared" ca="1" si="15"/>
        <v>pile</v>
      </c>
    </row>
    <row r="863" spans="6:6" x14ac:dyDescent="0.3">
      <c r="F863" s="29" t="str">
        <f t="shared" ca="1" si="15"/>
        <v>pile</v>
      </c>
    </row>
    <row r="864" spans="6:6" x14ac:dyDescent="0.3">
      <c r="F864" s="29" t="str">
        <f t="shared" ca="1" si="15"/>
        <v>pile</v>
      </c>
    </row>
    <row r="865" spans="6:6" x14ac:dyDescent="0.3">
      <c r="F865" s="29" t="str">
        <f t="shared" ca="1" si="15"/>
        <v>face</v>
      </c>
    </row>
    <row r="866" spans="6:6" x14ac:dyDescent="0.3">
      <c r="F866" s="29" t="str">
        <f t="shared" ca="1" si="15"/>
        <v>face</v>
      </c>
    </row>
    <row r="867" spans="6:6" x14ac:dyDescent="0.3">
      <c r="F867" s="29" t="str">
        <f t="shared" ca="1" si="15"/>
        <v>pile</v>
      </c>
    </row>
    <row r="868" spans="6:6" x14ac:dyDescent="0.3">
      <c r="F868" s="29" t="str">
        <f t="shared" ca="1" si="15"/>
        <v>pile</v>
      </c>
    </row>
    <row r="869" spans="6:6" x14ac:dyDescent="0.3">
      <c r="F869" s="29" t="str">
        <f t="shared" ca="1" si="15"/>
        <v>face</v>
      </c>
    </row>
    <row r="870" spans="6:6" x14ac:dyDescent="0.3">
      <c r="F870" s="29" t="str">
        <f t="shared" ca="1" si="15"/>
        <v>pile</v>
      </c>
    </row>
    <row r="871" spans="6:6" x14ac:dyDescent="0.3">
      <c r="F871" s="29" t="str">
        <f t="shared" ref="F871:F934" ca="1" si="16">IF(RAND() &lt;= 0.5, "pile", "face")</f>
        <v>pile</v>
      </c>
    </row>
    <row r="872" spans="6:6" x14ac:dyDescent="0.3">
      <c r="F872" s="29" t="str">
        <f t="shared" ca="1" si="16"/>
        <v>pile</v>
      </c>
    </row>
    <row r="873" spans="6:6" x14ac:dyDescent="0.3">
      <c r="F873" s="29" t="str">
        <f t="shared" ca="1" si="16"/>
        <v>pile</v>
      </c>
    </row>
    <row r="874" spans="6:6" x14ac:dyDescent="0.3">
      <c r="F874" s="29" t="str">
        <f t="shared" ca="1" si="16"/>
        <v>face</v>
      </c>
    </row>
    <row r="875" spans="6:6" x14ac:dyDescent="0.3">
      <c r="F875" s="29" t="str">
        <f t="shared" ca="1" si="16"/>
        <v>pile</v>
      </c>
    </row>
    <row r="876" spans="6:6" x14ac:dyDescent="0.3">
      <c r="F876" s="29" t="str">
        <f t="shared" ca="1" si="16"/>
        <v>pile</v>
      </c>
    </row>
    <row r="877" spans="6:6" x14ac:dyDescent="0.3">
      <c r="F877" s="29" t="str">
        <f t="shared" ca="1" si="16"/>
        <v>pile</v>
      </c>
    </row>
    <row r="878" spans="6:6" x14ac:dyDescent="0.3">
      <c r="F878" s="29" t="str">
        <f t="shared" ca="1" si="16"/>
        <v>pile</v>
      </c>
    </row>
    <row r="879" spans="6:6" x14ac:dyDescent="0.3">
      <c r="F879" s="29" t="str">
        <f t="shared" ca="1" si="16"/>
        <v>pile</v>
      </c>
    </row>
    <row r="880" spans="6:6" x14ac:dyDescent="0.3">
      <c r="F880" s="29" t="str">
        <f t="shared" ca="1" si="16"/>
        <v>pile</v>
      </c>
    </row>
    <row r="881" spans="6:6" x14ac:dyDescent="0.3">
      <c r="F881" s="29" t="str">
        <f t="shared" ca="1" si="16"/>
        <v>pile</v>
      </c>
    </row>
    <row r="882" spans="6:6" x14ac:dyDescent="0.3">
      <c r="F882" s="29" t="str">
        <f t="shared" ca="1" si="16"/>
        <v>face</v>
      </c>
    </row>
    <row r="883" spans="6:6" x14ac:dyDescent="0.3">
      <c r="F883" s="29" t="str">
        <f t="shared" ca="1" si="16"/>
        <v>pile</v>
      </c>
    </row>
    <row r="884" spans="6:6" x14ac:dyDescent="0.3">
      <c r="F884" s="29" t="str">
        <f t="shared" ca="1" si="16"/>
        <v>face</v>
      </c>
    </row>
    <row r="885" spans="6:6" x14ac:dyDescent="0.3">
      <c r="F885" s="29" t="str">
        <f t="shared" ca="1" si="16"/>
        <v>face</v>
      </c>
    </row>
    <row r="886" spans="6:6" x14ac:dyDescent="0.3">
      <c r="F886" s="29" t="str">
        <f t="shared" ca="1" si="16"/>
        <v>face</v>
      </c>
    </row>
    <row r="887" spans="6:6" x14ac:dyDescent="0.3">
      <c r="F887" s="29" t="str">
        <f t="shared" ca="1" si="16"/>
        <v>face</v>
      </c>
    </row>
    <row r="888" spans="6:6" x14ac:dyDescent="0.3">
      <c r="F888" s="29" t="str">
        <f t="shared" ca="1" si="16"/>
        <v>face</v>
      </c>
    </row>
    <row r="889" spans="6:6" x14ac:dyDescent="0.3">
      <c r="F889" s="29" t="str">
        <f t="shared" ca="1" si="16"/>
        <v>pile</v>
      </c>
    </row>
    <row r="890" spans="6:6" x14ac:dyDescent="0.3">
      <c r="F890" s="29" t="str">
        <f t="shared" ca="1" si="16"/>
        <v>pile</v>
      </c>
    </row>
    <row r="891" spans="6:6" x14ac:dyDescent="0.3">
      <c r="F891" s="29" t="str">
        <f t="shared" ca="1" si="16"/>
        <v>face</v>
      </c>
    </row>
    <row r="892" spans="6:6" x14ac:dyDescent="0.3">
      <c r="F892" s="29" t="str">
        <f t="shared" ca="1" si="16"/>
        <v>face</v>
      </c>
    </row>
    <row r="893" spans="6:6" x14ac:dyDescent="0.3">
      <c r="F893" s="29" t="str">
        <f t="shared" ca="1" si="16"/>
        <v>face</v>
      </c>
    </row>
    <row r="894" spans="6:6" x14ac:dyDescent="0.3">
      <c r="F894" s="29" t="str">
        <f t="shared" ca="1" si="16"/>
        <v>face</v>
      </c>
    </row>
    <row r="895" spans="6:6" x14ac:dyDescent="0.3">
      <c r="F895" s="29" t="str">
        <f t="shared" ca="1" si="16"/>
        <v>face</v>
      </c>
    </row>
    <row r="896" spans="6:6" x14ac:dyDescent="0.3">
      <c r="F896" s="29" t="str">
        <f t="shared" ca="1" si="16"/>
        <v>pile</v>
      </c>
    </row>
    <row r="897" spans="6:6" x14ac:dyDescent="0.3">
      <c r="F897" s="29" t="str">
        <f t="shared" ca="1" si="16"/>
        <v>pile</v>
      </c>
    </row>
    <row r="898" spans="6:6" x14ac:dyDescent="0.3">
      <c r="F898" s="29" t="str">
        <f t="shared" ca="1" si="16"/>
        <v>face</v>
      </c>
    </row>
    <row r="899" spans="6:6" x14ac:dyDescent="0.3">
      <c r="F899" s="29" t="str">
        <f t="shared" ca="1" si="16"/>
        <v>pile</v>
      </c>
    </row>
    <row r="900" spans="6:6" x14ac:dyDescent="0.3">
      <c r="F900" s="29" t="str">
        <f t="shared" ca="1" si="16"/>
        <v>pile</v>
      </c>
    </row>
    <row r="901" spans="6:6" x14ac:dyDescent="0.3">
      <c r="F901" s="29" t="str">
        <f t="shared" ca="1" si="16"/>
        <v>face</v>
      </c>
    </row>
    <row r="902" spans="6:6" x14ac:dyDescent="0.3">
      <c r="F902" s="29" t="str">
        <f t="shared" ca="1" si="16"/>
        <v>pile</v>
      </c>
    </row>
    <row r="903" spans="6:6" x14ac:dyDescent="0.3">
      <c r="F903" s="29" t="str">
        <f t="shared" ca="1" si="16"/>
        <v>face</v>
      </c>
    </row>
    <row r="904" spans="6:6" x14ac:dyDescent="0.3">
      <c r="F904" s="29" t="str">
        <f t="shared" ca="1" si="16"/>
        <v>face</v>
      </c>
    </row>
    <row r="905" spans="6:6" x14ac:dyDescent="0.3">
      <c r="F905" s="29" t="str">
        <f t="shared" ca="1" si="16"/>
        <v>pile</v>
      </c>
    </row>
    <row r="906" spans="6:6" x14ac:dyDescent="0.3">
      <c r="F906" s="29" t="str">
        <f t="shared" ca="1" si="16"/>
        <v>face</v>
      </c>
    </row>
    <row r="907" spans="6:6" x14ac:dyDescent="0.3">
      <c r="F907" s="29" t="str">
        <f t="shared" ca="1" si="16"/>
        <v>pile</v>
      </c>
    </row>
    <row r="908" spans="6:6" x14ac:dyDescent="0.3">
      <c r="F908" s="29" t="str">
        <f t="shared" ca="1" si="16"/>
        <v>pile</v>
      </c>
    </row>
    <row r="909" spans="6:6" x14ac:dyDescent="0.3">
      <c r="F909" s="29" t="str">
        <f t="shared" ca="1" si="16"/>
        <v>pile</v>
      </c>
    </row>
    <row r="910" spans="6:6" x14ac:dyDescent="0.3">
      <c r="F910" s="29" t="str">
        <f t="shared" ca="1" si="16"/>
        <v>face</v>
      </c>
    </row>
    <row r="911" spans="6:6" x14ac:dyDescent="0.3">
      <c r="F911" s="29" t="str">
        <f t="shared" ca="1" si="16"/>
        <v>face</v>
      </c>
    </row>
    <row r="912" spans="6:6" x14ac:dyDescent="0.3">
      <c r="F912" s="29" t="str">
        <f t="shared" ca="1" si="16"/>
        <v>pile</v>
      </c>
    </row>
    <row r="913" spans="6:6" x14ac:dyDescent="0.3">
      <c r="F913" s="29" t="str">
        <f t="shared" ca="1" si="16"/>
        <v>face</v>
      </c>
    </row>
    <row r="914" spans="6:6" x14ac:dyDescent="0.3">
      <c r="F914" s="29" t="str">
        <f t="shared" ca="1" si="16"/>
        <v>face</v>
      </c>
    </row>
    <row r="915" spans="6:6" x14ac:dyDescent="0.3">
      <c r="F915" s="29" t="str">
        <f t="shared" ca="1" si="16"/>
        <v>pile</v>
      </c>
    </row>
    <row r="916" spans="6:6" x14ac:dyDescent="0.3">
      <c r="F916" s="29" t="str">
        <f t="shared" ca="1" si="16"/>
        <v>pile</v>
      </c>
    </row>
    <row r="917" spans="6:6" x14ac:dyDescent="0.3">
      <c r="F917" s="29" t="str">
        <f t="shared" ca="1" si="16"/>
        <v>face</v>
      </c>
    </row>
    <row r="918" spans="6:6" x14ac:dyDescent="0.3">
      <c r="F918" s="29" t="str">
        <f t="shared" ca="1" si="16"/>
        <v>face</v>
      </c>
    </row>
    <row r="919" spans="6:6" x14ac:dyDescent="0.3">
      <c r="F919" s="29" t="str">
        <f t="shared" ca="1" si="16"/>
        <v>face</v>
      </c>
    </row>
    <row r="920" spans="6:6" x14ac:dyDescent="0.3">
      <c r="F920" s="29" t="str">
        <f t="shared" ca="1" si="16"/>
        <v>face</v>
      </c>
    </row>
    <row r="921" spans="6:6" x14ac:dyDescent="0.3">
      <c r="F921" s="29" t="str">
        <f t="shared" ca="1" si="16"/>
        <v>face</v>
      </c>
    </row>
    <row r="922" spans="6:6" x14ac:dyDescent="0.3">
      <c r="F922" s="29" t="str">
        <f t="shared" ca="1" si="16"/>
        <v>pile</v>
      </c>
    </row>
    <row r="923" spans="6:6" x14ac:dyDescent="0.3">
      <c r="F923" s="29" t="str">
        <f t="shared" ca="1" si="16"/>
        <v>pile</v>
      </c>
    </row>
    <row r="924" spans="6:6" x14ac:dyDescent="0.3">
      <c r="F924" s="29" t="str">
        <f t="shared" ca="1" si="16"/>
        <v>face</v>
      </c>
    </row>
    <row r="925" spans="6:6" x14ac:dyDescent="0.3">
      <c r="F925" s="29" t="str">
        <f t="shared" ca="1" si="16"/>
        <v>pile</v>
      </c>
    </row>
    <row r="926" spans="6:6" x14ac:dyDescent="0.3">
      <c r="F926" s="29" t="str">
        <f t="shared" ca="1" si="16"/>
        <v>face</v>
      </c>
    </row>
    <row r="927" spans="6:6" x14ac:dyDescent="0.3">
      <c r="F927" s="29" t="str">
        <f t="shared" ca="1" si="16"/>
        <v>face</v>
      </c>
    </row>
    <row r="928" spans="6:6" x14ac:dyDescent="0.3">
      <c r="F928" s="29" t="str">
        <f t="shared" ca="1" si="16"/>
        <v>pile</v>
      </c>
    </row>
    <row r="929" spans="6:6" x14ac:dyDescent="0.3">
      <c r="F929" s="29" t="str">
        <f t="shared" ca="1" si="16"/>
        <v>face</v>
      </c>
    </row>
    <row r="930" spans="6:6" x14ac:dyDescent="0.3">
      <c r="F930" s="29" t="str">
        <f t="shared" ca="1" si="16"/>
        <v>pile</v>
      </c>
    </row>
    <row r="931" spans="6:6" x14ac:dyDescent="0.3">
      <c r="F931" s="29" t="str">
        <f t="shared" ca="1" si="16"/>
        <v>pile</v>
      </c>
    </row>
    <row r="932" spans="6:6" x14ac:dyDescent="0.3">
      <c r="F932" s="29" t="str">
        <f t="shared" ca="1" si="16"/>
        <v>face</v>
      </c>
    </row>
    <row r="933" spans="6:6" x14ac:dyDescent="0.3">
      <c r="F933" s="29" t="str">
        <f t="shared" ca="1" si="16"/>
        <v>pile</v>
      </c>
    </row>
    <row r="934" spans="6:6" x14ac:dyDescent="0.3">
      <c r="F934" s="29" t="str">
        <f t="shared" ca="1" si="16"/>
        <v>face</v>
      </c>
    </row>
    <row r="935" spans="6:6" x14ac:dyDescent="0.3">
      <c r="F935" s="29" t="str">
        <f t="shared" ref="F935:F998" ca="1" si="17">IF(RAND() &lt;= 0.5, "pile", "face")</f>
        <v>face</v>
      </c>
    </row>
    <row r="936" spans="6:6" x14ac:dyDescent="0.3">
      <c r="F936" s="29" t="str">
        <f t="shared" ca="1" si="17"/>
        <v>face</v>
      </c>
    </row>
    <row r="937" spans="6:6" x14ac:dyDescent="0.3">
      <c r="F937" s="29" t="str">
        <f t="shared" ca="1" si="17"/>
        <v>pile</v>
      </c>
    </row>
    <row r="938" spans="6:6" x14ac:dyDescent="0.3">
      <c r="F938" s="29" t="str">
        <f t="shared" ca="1" si="17"/>
        <v>face</v>
      </c>
    </row>
    <row r="939" spans="6:6" x14ac:dyDescent="0.3">
      <c r="F939" s="29" t="str">
        <f t="shared" ca="1" si="17"/>
        <v>pile</v>
      </c>
    </row>
    <row r="940" spans="6:6" x14ac:dyDescent="0.3">
      <c r="F940" s="29" t="str">
        <f t="shared" ca="1" si="17"/>
        <v>pile</v>
      </c>
    </row>
    <row r="941" spans="6:6" x14ac:dyDescent="0.3">
      <c r="F941" s="29" t="str">
        <f t="shared" ca="1" si="17"/>
        <v>pile</v>
      </c>
    </row>
    <row r="942" spans="6:6" x14ac:dyDescent="0.3">
      <c r="F942" s="29" t="str">
        <f t="shared" ca="1" si="17"/>
        <v>face</v>
      </c>
    </row>
    <row r="943" spans="6:6" x14ac:dyDescent="0.3">
      <c r="F943" s="29" t="str">
        <f t="shared" ca="1" si="17"/>
        <v>face</v>
      </c>
    </row>
    <row r="944" spans="6:6" x14ac:dyDescent="0.3">
      <c r="F944" s="29" t="str">
        <f t="shared" ca="1" si="17"/>
        <v>face</v>
      </c>
    </row>
    <row r="945" spans="6:6" x14ac:dyDescent="0.3">
      <c r="F945" s="29" t="str">
        <f t="shared" ca="1" si="17"/>
        <v>face</v>
      </c>
    </row>
    <row r="946" spans="6:6" x14ac:dyDescent="0.3">
      <c r="F946" s="29" t="str">
        <f t="shared" ca="1" si="17"/>
        <v>face</v>
      </c>
    </row>
    <row r="947" spans="6:6" x14ac:dyDescent="0.3">
      <c r="F947" s="29" t="str">
        <f t="shared" ca="1" si="17"/>
        <v>face</v>
      </c>
    </row>
    <row r="948" spans="6:6" x14ac:dyDescent="0.3">
      <c r="F948" s="29" t="str">
        <f t="shared" ca="1" si="17"/>
        <v>face</v>
      </c>
    </row>
    <row r="949" spans="6:6" x14ac:dyDescent="0.3">
      <c r="F949" s="29" t="str">
        <f t="shared" ca="1" si="17"/>
        <v>pile</v>
      </c>
    </row>
    <row r="950" spans="6:6" x14ac:dyDescent="0.3">
      <c r="F950" s="29" t="str">
        <f t="shared" ca="1" si="17"/>
        <v>face</v>
      </c>
    </row>
    <row r="951" spans="6:6" x14ac:dyDescent="0.3">
      <c r="F951" s="29" t="str">
        <f t="shared" ca="1" si="17"/>
        <v>face</v>
      </c>
    </row>
    <row r="952" spans="6:6" x14ac:dyDescent="0.3">
      <c r="F952" s="29" t="str">
        <f t="shared" ca="1" si="17"/>
        <v>pile</v>
      </c>
    </row>
    <row r="953" spans="6:6" x14ac:dyDescent="0.3">
      <c r="F953" s="29" t="str">
        <f t="shared" ca="1" si="17"/>
        <v>face</v>
      </c>
    </row>
    <row r="954" spans="6:6" x14ac:dyDescent="0.3">
      <c r="F954" s="29" t="str">
        <f t="shared" ca="1" si="17"/>
        <v>pile</v>
      </c>
    </row>
    <row r="955" spans="6:6" x14ac:dyDescent="0.3">
      <c r="F955" s="29" t="str">
        <f t="shared" ca="1" si="17"/>
        <v>pile</v>
      </c>
    </row>
    <row r="956" spans="6:6" x14ac:dyDescent="0.3">
      <c r="F956" s="29" t="str">
        <f t="shared" ca="1" si="17"/>
        <v>face</v>
      </c>
    </row>
    <row r="957" spans="6:6" x14ac:dyDescent="0.3">
      <c r="F957" s="29" t="str">
        <f t="shared" ca="1" si="17"/>
        <v>face</v>
      </c>
    </row>
    <row r="958" spans="6:6" x14ac:dyDescent="0.3">
      <c r="F958" s="29" t="str">
        <f t="shared" ca="1" si="17"/>
        <v>pile</v>
      </c>
    </row>
    <row r="959" spans="6:6" x14ac:dyDescent="0.3">
      <c r="F959" s="29" t="str">
        <f t="shared" ca="1" si="17"/>
        <v>pile</v>
      </c>
    </row>
    <row r="960" spans="6:6" x14ac:dyDescent="0.3">
      <c r="F960" s="29" t="str">
        <f t="shared" ca="1" si="17"/>
        <v>pile</v>
      </c>
    </row>
    <row r="961" spans="6:6" x14ac:dyDescent="0.3">
      <c r="F961" s="29" t="str">
        <f t="shared" ca="1" si="17"/>
        <v>face</v>
      </c>
    </row>
    <row r="962" spans="6:6" x14ac:dyDescent="0.3">
      <c r="F962" s="29" t="str">
        <f t="shared" ca="1" si="17"/>
        <v>pile</v>
      </c>
    </row>
    <row r="963" spans="6:6" x14ac:dyDescent="0.3">
      <c r="F963" s="29" t="str">
        <f t="shared" ca="1" si="17"/>
        <v>face</v>
      </c>
    </row>
    <row r="964" spans="6:6" x14ac:dyDescent="0.3">
      <c r="F964" s="29" t="str">
        <f t="shared" ca="1" si="17"/>
        <v>pile</v>
      </c>
    </row>
    <row r="965" spans="6:6" x14ac:dyDescent="0.3">
      <c r="F965" s="29" t="str">
        <f t="shared" ca="1" si="17"/>
        <v>pile</v>
      </c>
    </row>
    <row r="966" spans="6:6" x14ac:dyDescent="0.3">
      <c r="F966" s="29" t="str">
        <f t="shared" ca="1" si="17"/>
        <v>face</v>
      </c>
    </row>
    <row r="967" spans="6:6" x14ac:dyDescent="0.3">
      <c r="F967" s="29" t="str">
        <f t="shared" ca="1" si="17"/>
        <v>pile</v>
      </c>
    </row>
    <row r="968" spans="6:6" x14ac:dyDescent="0.3">
      <c r="F968" s="29" t="str">
        <f t="shared" ca="1" si="17"/>
        <v>pile</v>
      </c>
    </row>
    <row r="969" spans="6:6" x14ac:dyDescent="0.3">
      <c r="F969" s="29" t="str">
        <f t="shared" ca="1" si="17"/>
        <v>pile</v>
      </c>
    </row>
    <row r="970" spans="6:6" x14ac:dyDescent="0.3">
      <c r="F970" s="29" t="str">
        <f t="shared" ca="1" si="17"/>
        <v>pile</v>
      </c>
    </row>
    <row r="971" spans="6:6" x14ac:dyDescent="0.3">
      <c r="F971" s="29" t="str">
        <f t="shared" ca="1" si="17"/>
        <v>pile</v>
      </c>
    </row>
    <row r="972" spans="6:6" x14ac:dyDescent="0.3">
      <c r="F972" s="29" t="str">
        <f t="shared" ca="1" si="17"/>
        <v>face</v>
      </c>
    </row>
    <row r="973" spans="6:6" x14ac:dyDescent="0.3">
      <c r="F973" s="29" t="str">
        <f t="shared" ca="1" si="17"/>
        <v>face</v>
      </c>
    </row>
    <row r="974" spans="6:6" x14ac:dyDescent="0.3">
      <c r="F974" s="29" t="str">
        <f t="shared" ca="1" si="17"/>
        <v>face</v>
      </c>
    </row>
    <row r="975" spans="6:6" x14ac:dyDescent="0.3">
      <c r="F975" s="29" t="str">
        <f t="shared" ca="1" si="17"/>
        <v>face</v>
      </c>
    </row>
    <row r="976" spans="6:6" x14ac:dyDescent="0.3">
      <c r="F976" s="29" t="str">
        <f t="shared" ca="1" si="17"/>
        <v>face</v>
      </c>
    </row>
    <row r="977" spans="6:6" x14ac:dyDescent="0.3">
      <c r="F977" s="29" t="str">
        <f t="shared" ca="1" si="17"/>
        <v>pile</v>
      </c>
    </row>
    <row r="978" spans="6:6" x14ac:dyDescent="0.3">
      <c r="F978" s="29" t="str">
        <f t="shared" ca="1" si="17"/>
        <v>pile</v>
      </c>
    </row>
    <row r="979" spans="6:6" x14ac:dyDescent="0.3">
      <c r="F979" s="29" t="str">
        <f t="shared" ca="1" si="17"/>
        <v>pile</v>
      </c>
    </row>
    <row r="980" spans="6:6" x14ac:dyDescent="0.3">
      <c r="F980" s="29" t="str">
        <f t="shared" ca="1" si="17"/>
        <v>pile</v>
      </c>
    </row>
    <row r="981" spans="6:6" x14ac:dyDescent="0.3">
      <c r="F981" s="29" t="str">
        <f t="shared" ca="1" si="17"/>
        <v>pile</v>
      </c>
    </row>
    <row r="982" spans="6:6" x14ac:dyDescent="0.3">
      <c r="F982" s="29" t="str">
        <f t="shared" ca="1" si="17"/>
        <v>pile</v>
      </c>
    </row>
    <row r="983" spans="6:6" x14ac:dyDescent="0.3">
      <c r="F983" s="29" t="str">
        <f t="shared" ca="1" si="17"/>
        <v>face</v>
      </c>
    </row>
    <row r="984" spans="6:6" x14ac:dyDescent="0.3">
      <c r="F984" s="29" t="str">
        <f t="shared" ca="1" si="17"/>
        <v>pile</v>
      </c>
    </row>
    <row r="985" spans="6:6" x14ac:dyDescent="0.3">
      <c r="F985" s="29" t="str">
        <f t="shared" ca="1" si="17"/>
        <v>pile</v>
      </c>
    </row>
    <row r="986" spans="6:6" x14ac:dyDescent="0.3">
      <c r="F986" s="29" t="str">
        <f t="shared" ca="1" si="17"/>
        <v>face</v>
      </c>
    </row>
    <row r="987" spans="6:6" x14ac:dyDescent="0.3">
      <c r="F987" s="29" t="str">
        <f t="shared" ca="1" si="17"/>
        <v>face</v>
      </c>
    </row>
    <row r="988" spans="6:6" x14ac:dyDescent="0.3">
      <c r="F988" s="29" t="str">
        <f t="shared" ca="1" si="17"/>
        <v>pile</v>
      </c>
    </row>
    <row r="989" spans="6:6" x14ac:dyDescent="0.3">
      <c r="F989" s="29" t="str">
        <f t="shared" ca="1" si="17"/>
        <v>pile</v>
      </c>
    </row>
    <row r="990" spans="6:6" x14ac:dyDescent="0.3">
      <c r="F990" s="29" t="str">
        <f t="shared" ca="1" si="17"/>
        <v>pile</v>
      </c>
    </row>
    <row r="991" spans="6:6" x14ac:dyDescent="0.3">
      <c r="F991" s="29" t="str">
        <f t="shared" ca="1" si="17"/>
        <v>face</v>
      </c>
    </row>
    <row r="992" spans="6:6" x14ac:dyDescent="0.3">
      <c r="F992" s="29" t="str">
        <f t="shared" ca="1" si="17"/>
        <v>face</v>
      </c>
    </row>
    <row r="993" spans="6:6" x14ac:dyDescent="0.3">
      <c r="F993" s="29" t="str">
        <f t="shared" ca="1" si="17"/>
        <v>pile</v>
      </c>
    </row>
    <row r="994" spans="6:6" x14ac:dyDescent="0.3">
      <c r="F994" s="29" t="str">
        <f t="shared" ca="1" si="17"/>
        <v>pile</v>
      </c>
    </row>
    <row r="995" spans="6:6" x14ac:dyDescent="0.3">
      <c r="F995" s="29" t="str">
        <f t="shared" ca="1" si="17"/>
        <v>pile</v>
      </c>
    </row>
    <row r="996" spans="6:6" x14ac:dyDescent="0.3">
      <c r="F996" s="29" t="str">
        <f t="shared" ca="1" si="17"/>
        <v>face</v>
      </c>
    </row>
    <row r="997" spans="6:6" x14ac:dyDescent="0.3">
      <c r="F997" s="29" t="str">
        <f t="shared" ca="1" si="17"/>
        <v>face</v>
      </c>
    </row>
    <row r="998" spans="6:6" x14ac:dyDescent="0.3">
      <c r="F998" s="29" t="str">
        <f t="shared" ca="1" si="17"/>
        <v>pile</v>
      </c>
    </row>
    <row r="999" spans="6:6" x14ac:dyDescent="0.3">
      <c r="F999" s="29" t="str">
        <f t="shared" ref="F999:F1002" ca="1" si="18">IF(RAND() &lt;= 0.5, "pile", "face")</f>
        <v>pile</v>
      </c>
    </row>
    <row r="1000" spans="6:6" x14ac:dyDescent="0.3">
      <c r="F1000" s="29" t="str">
        <f t="shared" ca="1" si="18"/>
        <v>face</v>
      </c>
    </row>
    <row r="1001" spans="6:6" x14ac:dyDescent="0.3">
      <c r="F1001" s="29" t="str">
        <f t="shared" ca="1" si="18"/>
        <v>pile</v>
      </c>
    </row>
    <row r="1002" spans="6:6" ht="15" thickBot="1" x14ac:dyDescent="0.35">
      <c r="F1002" s="30" t="str">
        <f t="shared" ca="1" si="18"/>
        <v>pile</v>
      </c>
    </row>
  </sheetData>
  <mergeCells count="2">
    <mergeCell ref="B1:F1"/>
    <mergeCell ref="H1:L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68428-9F7B-4090-A554-4BB1A5371FE0}">
  <sheetPr codeName="Feuil7"/>
  <dimension ref="A1:R22"/>
  <sheetViews>
    <sheetView tabSelected="1" topLeftCell="G1" zoomScale="95" workbookViewId="0">
      <selection activeCell="R14" sqref="R14"/>
    </sheetView>
  </sheetViews>
  <sheetFormatPr baseColWidth="10" defaultRowHeight="14.4" x14ac:dyDescent="0.3"/>
  <cols>
    <col min="1" max="1" width="14.88671875" customWidth="1"/>
    <col min="3" max="3" width="15.109375" customWidth="1"/>
    <col min="4" max="4" width="8.33203125" customWidth="1"/>
    <col min="5" max="5" width="18.33203125" customWidth="1"/>
    <col min="6" max="6" width="14.33203125" customWidth="1"/>
    <col min="9" max="9" width="21.6640625" customWidth="1"/>
    <col min="10" max="11" width="15.77734375" customWidth="1"/>
  </cols>
  <sheetData>
    <row r="1" spans="1:18" ht="15" thickBot="1" x14ac:dyDescent="0.35">
      <c r="A1" s="130" t="s">
        <v>63</v>
      </c>
      <c r="B1" s="131"/>
    </row>
    <row r="3" spans="1:18" ht="15" thickBot="1" x14ac:dyDescent="0.35"/>
    <row r="4" spans="1:18" ht="15" thickBot="1" x14ac:dyDescent="0.35">
      <c r="A4" s="10" t="s">
        <v>40</v>
      </c>
      <c r="B4" s="10" t="s">
        <v>41</v>
      </c>
      <c r="C4" s="10" t="s">
        <v>42</v>
      </c>
      <c r="D4" s="10" t="s">
        <v>43</v>
      </c>
      <c r="E4" s="10" t="s">
        <v>44</v>
      </c>
      <c r="F4" s="8" t="s">
        <v>45</v>
      </c>
      <c r="I4" s="91" t="s">
        <v>52</v>
      </c>
      <c r="J4" s="91" t="s">
        <v>53</v>
      </c>
      <c r="K4" s="62" t="s">
        <v>54</v>
      </c>
      <c r="O4" s="127" t="s">
        <v>70</v>
      </c>
      <c r="P4" s="128"/>
      <c r="Q4" s="128"/>
      <c r="R4" s="129"/>
    </row>
    <row r="5" spans="1:18" x14ac:dyDescent="0.3">
      <c r="A5" s="12">
        <v>0</v>
      </c>
      <c r="B5" s="12" t="s">
        <v>46</v>
      </c>
      <c r="C5" s="12">
        <v>250</v>
      </c>
      <c r="D5" s="81">
        <v>0.05</v>
      </c>
      <c r="E5" s="12">
        <f>A5*C5</f>
        <v>0</v>
      </c>
      <c r="F5" s="4">
        <f>E5*D5</f>
        <v>0</v>
      </c>
      <c r="I5" s="28">
        <v>0</v>
      </c>
      <c r="J5" s="92">
        <f>F16</f>
        <v>0.94857142857142862</v>
      </c>
      <c r="K5" s="88">
        <f>F17</f>
        <v>1.1066666666666667</v>
      </c>
      <c r="O5" s="103" t="s">
        <v>64</v>
      </c>
      <c r="P5" s="106" t="s">
        <v>65</v>
      </c>
      <c r="Q5" s="106" t="s">
        <v>66</v>
      </c>
      <c r="R5" s="107" t="s">
        <v>69</v>
      </c>
    </row>
    <row r="6" spans="1:18" x14ac:dyDescent="0.3">
      <c r="A6" s="12">
        <v>0</v>
      </c>
      <c r="B6" s="12" t="s">
        <v>47</v>
      </c>
      <c r="C6" s="12">
        <v>20</v>
      </c>
      <c r="D6" s="81">
        <v>0.45</v>
      </c>
      <c r="E6" s="12">
        <f t="shared" ref="E6:E10" si="0">A6*C6</f>
        <v>0</v>
      </c>
      <c r="F6" s="4">
        <f t="shared" ref="F6:F10" si="1">E6*D6</f>
        <v>0</v>
      </c>
      <c r="I6" s="29">
        <v>1</v>
      </c>
      <c r="J6" s="93">
        <f>MAX($J5-0.1,0)</f>
        <v>0.84857142857142864</v>
      </c>
      <c r="K6" s="89">
        <f>MAX(K5-0.1,0)</f>
        <v>1.0066666666666666</v>
      </c>
      <c r="O6" s="104" t="s">
        <v>67</v>
      </c>
      <c r="P6" s="99">
        <v>2</v>
      </c>
      <c r="Q6" s="99">
        <v>1</v>
      </c>
      <c r="R6" s="100" cm="1">
        <f t="array" ref="R6">volume_cylindre(P6,Q6)</f>
        <v>12.566370964050293</v>
      </c>
    </row>
    <row r="7" spans="1:18" ht="15" thickBot="1" x14ac:dyDescent="0.35">
      <c r="A7" s="12">
        <v>2</v>
      </c>
      <c r="B7" s="12" t="s">
        <v>48</v>
      </c>
      <c r="C7" s="12">
        <v>50</v>
      </c>
      <c r="D7" s="81">
        <v>0.4</v>
      </c>
      <c r="E7" s="12">
        <f t="shared" si="0"/>
        <v>100</v>
      </c>
      <c r="F7" s="4">
        <f t="shared" si="1"/>
        <v>40</v>
      </c>
      <c r="I7" s="29">
        <v>2</v>
      </c>
      <c r="J7" s="93">
        <f t="shared" ref="J7:J21" si="2">MAX($J6-0.1,0)</f>
        <v>0.74857142857142867</v>
      </c>
      <c r="K7" s="89">
        <f t="shared" ref="K7:K21" si="3">MAX(K6-0.1,0)</f>
        <v>0.90666666666666662</v>
      </c>
      <c r="O7" s="105" t="s">
        <v>68</v>
      </c>
      <c r="P7" s="101">
        <v>2</v>
      </c>
      <c r="Q7" s="101"/>
      <c r="R7" s="102" cm="1">
        <f t="array" ref="R7">volume_sphere(P7)</f>
        <v>33.510322570800781</v>
      </c>
    </row>
    <row r="8" spans="1:18" x14ac:dyDescent="0.3">
      <c r="A8" s="12">
        <v>0</v>
      </c>
      <c r="B8" s="12" t="s">
        <v>49</v>
      </c>
      <c r="C8" s="12">
        <v>100</v>
      </c>
      <c r="D8" s="81">
        <v>0.12</v>
      </c>
      <c r="E8" s="12">
        <f t="shared" si="0"/>
        <v>0</v>
      </c>
      <c r="F8" s="4">
        <f t="shared" si="1"/>
        <v>0</v>
      </c>
      <c r="I8" s="29">
        <v>3</v>
      </c>
      <c r="J8" s="93">
        <f t="shared" si="2"/>
        <v>0.64857142857142869</v>
      </c>
      <c r="K8" s="89">
        <f t="shared" si="3"/>
        <v>0.80666666666666664</v>
      </c>
    </row>
    <row r="9" spans="1:18" x14ac:dyDescent="0.3">
      <c r="A9" s="12">
        <v>2</v>
      </c>
      <c r="B9" s="12" t="s">
        <v>50</v>
      </c>
      <c r="C9" s="12">
        <v>120</v>
      </c>
      <c r="D9" s="81">
        <v>0.11</v>
      </c>
      <c r="E9" s="12">
        <f t="shared" si="0"/>
        <v>240</v>
      </c>
      <c r="F9" s="4">
        <f t="shared" si="1"/>
        <v>26.4</v>
      </c>
      <c r="I9" s="29">
        <v>4</v>
      </c>
      <c r="J9" s="93">
        <f t="shared" si="2"/>
        <v>0.54857142857142871</v>
      </c>
      <c r="K9" s="89">
        <f t="shared" si="3"/>
        <v>0.70666666666666667</v>
      </c>
    </row>
    <row r="10" spans="1:18" ht="15" thickBot="1" x14ac:dyDescent="0.35">
      <c r="A10" s="13">
        <v>0</v>
      </c>
      <c r="B10" s="13" t="s">
        <v>51</v>
      </c>
      <c r="C10" s="13">
        <v>120</v>
      </c>
      <c r="D10" s="82">
        <v>0.11</v>
      </c>
      <c r="E10" s="13">
        <f t="shared" si="0"/>
        <v>0</v>
      </c>
      <c r="F10" s="6">
        <f t="shared" si="1"/>
        <v>0</v>
      </c>
      <c r="I10" s="29">
        <v>5</v>
      </c>
      <c r="J10" s="93">
        <f t="shared" si="2"/>
        <v>0.44857142857142873</v>
      </c>
      <c r="K10" s="89">
        <f t="shared" si="3"/>
        <v>0.60666666666666669</v>
      </c>
    </row>
    <row r="11" spans="1:18" x14ac:dyDescent="0.3">
      <c r="I11" s="29">
        <v>6</v>
      </c>
      <c r="J11" s="93">
        <f t="shared" si="2"/>
        <v>0.34857142857142875</v>
      </c>
      <c r="K11" s="89">
        <f t="shared" si="3"/>
        <v>0.50666666666666671</v>
      </c>
    </row>
    <row r="12" spans="1:18" ht="15" thickBot="1" x14ac:dyDescent="0.35">
      <c r="I12" s="29">
        <v>7</v>
      </c>
      <c r="J12" s="93">
        <f t="shared" si="2"/>
        <v>0.24857142857142875</v>
      </c>
      <c r="K12" s="89">
        <f t="shared" si="3"/>
        <v>0.40666666666666673</v>
      </c>
    </row>
    <row r="13" spans="1:18" ht="15" thickBot="1" x14ac:dyDescent="0.35">
      <c r="D13" s="140" t="s">
        <v>60</v>
      </c>
      <c r="E13" s="141"/>
      <c r="F13" s="141"/>
      <c r="G13" s="142"/>
      <c r="I13" s="29">
        <v>8</v>
      </c>
      <c r="J13" s="93">
        <f t="shared" si="2"/>
        <v>0.14857142857142874</v>
      </c>
      <c r="K13" s="89">
        <f t="shared" si="3"/>
        <v>0.30666666666666675</v>
      </c>
    </row>
    <row r="14" spans="1:18" x14ac:dyDescent="0.3">
      <c r="D14" s="132" t="s">
        <v>55</v>
      </c>
      <c r="E14" s="133"/>
      <c r="F14" s="85">
        <v>100</v>
      </c>
      <c r="G14" s="86" t="s">
        <v>58</v>
      </c>
      <c r="I14" s="29">
        <v>9</v>
      </c>
      <c r="J14" s="93">
        <f t="shared" si="2"/>
        <v>4.8571428571428737E-2</v>
      </c>
      <c r="K14" s="89">
        <f t="shared" si="3"/>
        <v>0.20666666666666675</v>
      </c>
    </row>
    <row r="15" spans="1:18" x14ac:dyDescent="0.3">
      <c r="D15" s="134" t="s">
        <v>56</v>
      </c>
      <c r="E15" s="135"/>
      <c r="F15" s="25">
        <f>SUM(F5:F10)</f>
        <v>66.400000000000006</v>
      </c>
      <c r="G15" s="83" t="s">
        <v>59</v>
      </c>
      <c r="I15" s="29">
        <v>10</v>
      </c>
      <c r="J15" s="93">
        <f t="shared" si="2"/>
        <v>0</v>
      </c>
      <c r="K15" s="89">
        <f t="shared" si="3"/>
        <v>0.10666666666666674</v>
      </c>
    </row>
    <row r="16" spans="1:18" x14ac:dyDescent="0.3">
      <c r="D16" s="136" t="s">
        <v>53</v>
      </c>
      <c r="E16" s="137"/>
      <c r="F16" s="97">
        <f>F15/(F14*0.7)</f>
        <v>0.94857142857142862</v>
      </c>
      <c r="G16" s="87"/>
      <c r="I16" s="29">
        <v>11</v>
      </c>
      <c r="J16" s="93">
        <f t="shared" si="2"/>
        <v>0</v>
      </c>
      <c r="K16" s="89">
        <f t="shared" si="3"/>
        <v>6.6666666666667374E-3</v>
      </c>
    </row>
    <row r="17" spans="2:11" ht="15" thickBot="1" x14ac:dyDescent="0.35">
      <c r="D17" s="138" t="s">
        <v>57</v>
      </c>
      <c r="E17" s="139"/>
      <c r="F17" s="98">
        <f>F15/(F14*0.6)</f>
        <v>1.1066666666666667</v>
      </c>
      <c r="G17" s="84"/>
      <c r="I17" s="29">
        <v>12</v>
      </c>
      <c r="J17" s="93">
        <f t="shared" si="2"/>
        <v>0</v>
      </c>
      <c r="K17" s="89">
        <f t="shared" si="3"/>
        <v>0</v>
      </c>
    </row>
    <row r="18" spans="2:11" x14ac:dyDescent="0.3">
      <c r="I18" s="29">
        <v>13</v>
      </c>
      <c r="J18" s="93">
        <f t="shared" si="2"/>
        <v>0</v>
      </c>
      <c r="K18" s="89">
        <f t="shared" si="3"/>
        <v>0</v>
      </c>
    </row>
    <row r="19" spans="2:11" x14ac:dyDescent="0.3">
      <c r="I19" s="29">
        <v>14</v>
      </c>
      <c r="J19" s="93">
        <f t="shared" si="2"/>
        <v>0</v>
      </c>
      <c r="K19" s="89">
        <f t="shared" si="3"/>
        <v>0</v>
      </c>
    </row>
    <row r="20" spans="2:11" ht="15" thickBot="1" x14ac:dyDescent="0.35">
      <c r="I20" s="29">
        <v>15</v>
      </c>
      <c r="J20" s="93">
        <f t="shared" si="2"/>
        <v>0</v>
      </c>
      <c r="K20" s="89">
        <f t="shared" si="3"/>
        <v>0</v>
      </c>
    </row>
    <row r="21" spans="2:11" ht="15" thickBot="1" x14ac:dyDescent="0.35">
      <c r="B21" s="95" t="s">
        <v>61</v>
      </c>
      <c r="C21" s="123" t="str">
        <f>IF(F16&gt;3.5, "RISQUE DE MORT", IF(F16&gt;2.5, "RISQUE DE COMA", IF(F16&gt;0.5, "NE PAS PRENDRE LE VOLANT","")))</f>
        <v>NE PAS PRENDRE LE VOLANT</v>
      </c>
      <c r="D21" s="123"/>
      <c r="E21" s="124"/>
      <c r="I21" s="30">
        <v>16</v>
      </c>
      <c r="J21" s="94">
        <f t="shared" si="2"/>
        <v>0</v>
      </c>
      <c r="K21" s="90">
        <f t="shared" si="3"/>
        <v>0</v>
      </c>
    </row>
    <row r="22" spans="2:11" ht="15" thickBot="1" x14ac:dyDescent="0.35">
      <c r="B22" s="96" t="s">
        <v>62</v>
      </c>
      <c r="C22" s="125" t="str">
        <f>IF(F17&gt;3.5, "RISQUE DE MORT", IF(F17&gt;2.5, "RISQUE DE COMA", IF(F17&gt;0.5, "NE PAS PRENDRE LE VOLANT","")))</f>
        <v>NE PAS PRENDRE LE VOLANT</v>
      </c>
      <c r="D22" s="125"/>
      <c r="E22" s="126"/>
    </row>
  </sheetData>
  <mergeCells count="9">
    <mergeCell ref="C21:E21"/>
    <mergeCell ref="C22:E22"/>
    <mergeCell ref="O4:R4"/>
    <mergeCell ref="A1:B1"/>
    <mergeCell ref="D14:E14"/>
    <mergeCell ref="D15:E15"/>
    <mergeCell ref="D16:E16"/>
    <mergeCell ref="D17:E17"/>
    <mergeCell ref="D13:G13"/>
  </mergeCells>
  <conditionalFormatting sqref="C21:C22">
    <cfRule type="expression" dxfId="5" priority="8">
      <formula>C21="RISQUE DE MORT"</formula>
    </cfRule>
    <cfRule type="expression" dxfId="4" priority="7">
      <formula>C21="NE PAS PRENDRE LE VOLANT"</formula>
    </cfRule>
    <cfRule type="expression" dxfId="3" priority="6">
      <formula>C21="RISQUE DE COMA"</formula>
    </cfRule>
  </conditionalFormatting>
  <conditionalFormatting sqref="J5:K21">
    <cfRule type="cellIs" dxfId="2" priority="5" operator="greaterThan">
      <formula>0.5</formula>
    </cfRule>
  </conditionalFormatting>
  <conditionalFormatting sqref="F16:F17">
    <cfRule type="cellIs" dxfId="1" priority="2" operator="greaterThan">
      <formula>0.5</formula>
    </cfRule>
    <cfRule type="cellIs" dxfId="0" priority="1" operator="lessThan">
      <formula>0.5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TP1</vt:lpstr>
      <vt:lpstr>TP2</vt:lpstr>
      <vt:lpstr>TP3</vt:lpstr>
      <vt:lpstr>TP4</vt:lpstr>
      <vt:lpstr>Donnees</vt:lpstr>
      <vt:lpstr>TP5</vt:lpstr>
      <vt:lpstr>TP6</vt:lpstr>
      <vt:lpstr>donnee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Berthod</dc:creator>
  <cp:lastModifiedBy>Guillaume Berthod</cp:lastModifiedBy>
  <dcterms:created xsi:type="dcterms:W3CDTF">2024-04-08T13:19:28Z</dcterms:created>
  <dcterms:modified xsi:type="dcterms:W3CDTF">2024-04-15T12:03:26Z</dcterms:modified>
</cp:coreProperties>
</file>